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720" tabRatio="776" firstSheet="0" activeTab="0" autoFilterDateGrouping="1"/>
  </bookViews>
  <sheets>
    <sheet name="3.0_Valve List" sheetId="1" state="visible" r:id="rId1"/>
    <sheet name="5.2.0 PKG Inter. Typical" sheetId="2" state="hidden" r:id="rId2"/>
    <sheet name="5.2.1 PKG Inter. Cable" sheetId="3" state="hidden" r:id="rId3"/>
    <sheet name="5.3.1 Comm. Cable" sheetId="4" state="hidden" r:id="rId4"/>
    <sheet name="5.4.2 Raceway" sheetId="5" state="hidden" r:id="rId5"/>
    <sheet name="5.5 Cable Routing" sheetId="6" state="hidden" r:id="rId6"/>
  </sheets>
  <externalReferences>
    <externalReference r:id="rId7"/>
  </externalReferences>
  <definedNames>
    <definedName name="__123Graph_A" hidden="1">#REF!</definedName>
    <definedName name="__123Graph_B" hidden="1">#REF!</definedName>
    <definedName name="__123Graph_D" hidden="1">#REF!</definedName>
    <definedName name="__123Graph_F" hidden="1">#REF!</definedName>
    <definedName name="__123Graph_X" hidden="1">#REF!</definedName>
    <definedName name="__dp1" hidden="1">{"Inputs",#N/A,FALSE,"Data Reduction";"Outputs",#N/A,FALSE,"Data Reduction";"Cycle Deck Comparison",#N/A,FALSE,"Data Reduction"}</definedName>
    <definedName name="__FAC1">1.25</definedName>
    <definedName name="_FAC1">1.25</definedName>
    <definedName name="_Fill" hidden="1">#REF!</definedName>
    <definedName name="_Key1" hidden="1">#REF!</definedName>
    <definedName name="_Key2" hidden="1">#REF!</definedName>
    <definedName name="_Order1">255</definedName>
    <definedName name="_Order2" hidden="1">255</definedName>
    <definedName name="_Parse_Out" hidden="1">#REF!</definedName>
    <definedName name="_Regression_Int" hidden="1">1</definedName>
    <definedName name="_Sort" hidden="1">#REF!</definedName>
    <definedName name="aaaa" hidden="1">{"Inputs",#N/A,FALSE,"Data Reduction";"Outputs",#N/A,FALSE,"Data Reduction";"Cycle Deck Comparison",#N/A,FALSE,"Data Reduction"}</definedName>
    <definedName name="Access_Button" hidden="1">"Yosuequipment0106_X_port_Equipment_List___Final__List"</definedName>
    <definedName name="AccessDatabase" hidden="1">"C:\HMS\EPH\ETS1.mdb"</definedName>
    <definedName name="anscount">1</definedName>
    <definedName name="Case_Selection">'[1]5.'!$Q$12:$V$12</definedName>
    <definedName name="Comm_Cable_Type">'5.3.1 Comm. Cable'!$T$4:$T$9</definedName>
    <definedName name="DDD" hidden="1">#REF!</definedName>
    <definedName name="dfsdf" hidden="1">{"Inputs",#N/A,FALSE,"Data Reduction";"Outputs",#N/A,FALSE,"Data Reduction";"Cycle Deck Comparison",#N/A,FALSE,"Data Reduction"}</definedName>
    <definedName name="DRF" hidden="1">#REF!</definedName>
    <definedName name="DS1ProposalWork\2000\0042\Design\HRSG9S9Design\Cards\Design9S9B\DesignB_Plaquemine" hidden="1">#REF!</definedName>
    <definedName name="DS1ProposalWork\2001\1028\Design\HRSG9S9Design\Design9S9G\Montg9I9CedarB_G.dat" hidden="1">#REF!</definedName>
    <definedName name="DS1ProposalWork\2002\2004\Design\HRSG9S9Design\Design9S9B\Wallula_B3_Optimized.dat" hidden="1">#REF!</definedName>
    <definedName name="DS1ProposalWork\2002\2010\Design\HRSG9S9Design\Design9S9B\2010_B_3.dat" hidden="1">#REF!</definedName>
    <definedName name="DVF" hidden="1">#REF!</definedName>
    <definedName name="Elec_Room">#REF!</definedName>
    <definedName name="FAC">1.2</definedName>
    <definedName name="FM1ProposalWork\2000\0042\Design\HRSG9S9Design\Cards\Design9S9B\DesignB_Plaquemine" hidden="1">#REF!</definedName>
    <definedName name="FM1ProposalWork\2001\1028\Design\HRSG9S9Design\Design9S9G\Montg9I9CedarB_G.dat" hidden="1">#REF!</definedName>
    <definedName name="FM1ProposalWork\2002\2004\Design\HRSG9S9Design\Design9S9B\Wallula_B3_Optimized.dat" hidden="1">#REF!</definedName>
    <definedName name="FM1ProposalWork\2002\2010\Design\HRSG9S9Design\Design9S9B\2010_B_3.dat" hidden="1">#REF!</definedName>
    <definedName name="GUESTPNT">[0]!GUESTPNT</definedName>
    <definedName name="M_to_Cm">100</definedName>
    <definedName name="MM3_to_M3">0.000001</definedName>
    <definedName name="Pkg_Comm">'5.2.0 PKG Inter. Typical'!$C$4:$C$23</definedName>
    <definedName name="Pkg_Name">'5.2.0 PKG Inter. Typical'!$C$4:$C$59</definedName>
    <definedName name="Pkg_Type">'5.2.0 PKG Inter. Typical'!$D$4:$D$59</definedName>
    <definedName name="psi_to_cm2">0.07030695796</definedName>
    <definedName name="Pump_Density_Value">'[1]5.'!$B$12:$Y$39</definedName>
    <definedName name="Pump_Discharge_Value">'[1]5.'!$B$54:$Y$70</definedName>
    <definedName name="Pump_Suction_Value">'[1]5.'!$B$42:$Y$50</definedName>
    <definedName name="Pump_TDH_Value">'[1]5.'!$B$73:$Y$77</definedName>
    <definedName name="RTPNT">[0]!RTPNT</definedName>
    <definedName name="TM111S29S00E2C12C09EPM" hidden="1">#REF!</definedName>
    <definedName name="TM12S27S02E3C01C30EPM" hidden="1">#REF!</definedName>
    <definedName name="TM12S8S02E3C59C22EPM" hidden="1">#REF!</definedName>
    <definedName name="TM19S27S01E1C06C19EPM" hidden="1">#REF!</definedName>
    <definedName name="TM22S14S02E6C30C55EPM" hidden="1">#REF!</definedName>
    <definedName name="TM22S8S02E3C58C40EPM" hidden="1">#REF!</definedName>
    <definedName name="TN1CTurner" hidden="1">#REF!</definedName>
    <definedName name="TN1DEales" hidden="1">#REF!</definedName>
    <definedName name="TN1PShen" hidden="1">#REF!</definedName>
    <definedName name="TN1sbuffington" hidden="1">#REF!</definedName>
    <definedName name="Type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TPNT">[0]!UTPNT</definedName>
    <definedName name="VLV_BF_TYPE">#REF!</definedName>
    <definedName name="VLV_BL_TYPE">#REF!</definedName>
    <definedName name="VLV_CONN_TYPE">#REF!</definedName>
    <definedName name="VLV_GL_BONN">#REF!</definedName>
    <definedName name="VLV_GL_TRIM">#REF!</definedName>
    <definedName name="VLV_GT_BONN">#REF!</definedName>
    <definedName name="VLV_GT_TRIM">#REF!</definedName>
    <definedName name="VLV_MATERIAL">#REF!</definedName>
    <definedName name="VLV_PSV_TYPE">#REF!</definedName>
    <definedName name="wrn.Data._.Reduction." hidden="1">{"Inputs",#N/A,FALSE,"Data Reduction";"Outputs",#N/A,FALSE,"Data Reduction";"Cycle Deck Comparison",#N/A,FALSE,"Data Reduction"}</definedName>
    <definedName name="Zone_Desc">#REF!</definedName>
    <definedName name="ㄴㄴㄴ" hidden="1">#REF!</definedName>
    <definedName name="ㄴㄴㄴㄴ" hidden="1">#REF!</definedName>
    <definedName name="ㄴㄴㄴㄴㄴ" hidden="1">#REF!</definedName>
    <definedName name="ㄷㄷ" hidden="1">#REF!</definedName>
    <definedName name="ㅁ" hidden="1">#REF!</definedName>
    <definedName name="ㅁㅁ" hidden="1">#REF!</definedName>
    <definedName name="ㅇㄹㅇㄹ" hidden="1">#REF!</definedName>
    <definedName name="ㅇㅇㄹ" hidden="1">#REF!</definedName>
    <definedName name="ㅇㅇㅇ" hidden="1">#REF!</definedName>
    <definedName name="파일" hidden="1">#REF!</definedName>
    <definedName name="훈" hidden="1">255</definedName>
    <definedName name="_xlnm._FilterDatabase" localSheetId="0" hidden="1">'3.0_Valve List'!$A$7:$AM$83</definedName>
    <definedName name="_xlnm._FilterDatabase" localSheetId="2" hidden="1">'5.2.1 PKG Inter. Cable'!$A$5:$AI$13</definedName>
    <definedName name="_xlnm._FilterDatabase" localSheetId="5" hidden="1">'5.5 Cable Routing'!$B$5:$AV$5</definedName>
  </definedNames>
  <calcPr calcId="191029" fullCalcOnLoad="1" iterate="1"/>
</workbook>
</file>

<file path=xl/styles.xml><?xml version="1.0" encoding="utf-8"?>
<styleSheet xmlns="http://schemas.openxmlformats.org/spreadsheetml/2006/main">
  <numFmts count="7">
    <numFmt numFmtId="164" formatCode="0.00_);[Red]\(0.00\)"/>
    <numFmt numFmtId="165" formatCode="0_ "/>
    <numFmt numFmtId="166" formatCode="#,##0_);[Red]\(#,##0\)"/>
    <numFmt numFmtId="167" formatCode="0_);[Red]\(0\)"/>
    <numFmt numFmtId="168" formatCode="00"/>
    <numFmt numFmtId="169" formatCode="0.0"/>
    <numFmt numFmtId="170" formatCode="0.0_);[Red]\(0.0\)"/>
  </numFmts>
  <fonts count="4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Arial"/>
      <family val="2"/>
      <b val="1"/>
      <sz val="10"/>
    </font>
    <font>
      <name val="돋움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b val="1"/>
      <color theme="1"/>
      <sz val="12"/>
      <scheme val="major"/>
    </font>
    <font>
      <name val="Arial"/>
      <family val="2"/>
      <color theme="1"/>
      <sz val="11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sz val="10"/>
      <scheme val="major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color rgb="FFFF0000"/>
      <sz val="12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rial"/>
      <family val="2"/>
      <color theme="1"/>
      <sz val="10"/>
    </font>
    <font>
      <name val="맑은 고딕"/>
      <charset val="129"/>
      <family val="2"/>
      <color rgb="FFFF0000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3"/>
      <b val="1"/>
      <color rgb="FFFF0000"/>
      <sz val="12"/>
      <scheme val="major"/>
    </font>
    <font>
      <name val="맑은 고딕"/>
      <charset val="129"/>
      <family val="3"/>
      <b val="1"/>
      <color theme="1"/>
      <sz val="11"/>
      <scheme val="minor"/>
    </font>
    <font>
      <name val="Arial"/>
      <family val="2"/>
      <strike val="1"/>
      <color theme="1"/>
      <sz val="11"/>
    </font>
    <font>
      <name val="Arial"/>
      <family val="2"/>
      <color theme="1"/>
      <sz val="16"/>
    </font>
    <font>
      <name val="Arial"/>
      <family val="2"/>
      <color theme="1"/>
      <sz val="12"/>
    </font>
    <font>
      <name val="Arial"/>
      <family val="2"/>
      <strike val="1"/>
      <color theme="1"/>
      <sz val="10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b val="1"/>
      <color theme="0"/>
      <sz val="14"/>
      <scheme val="major"/>
    </font>
    <font>
      <name val="Arial"/>
      <family val="2"/>
      <b val="1"/>
      <color rgb="FFFF0000"/>
      <sz val="11"/>
    </font>
    <font>
      <name val="맑은 고딕"/>
      <charset val="129"/>
      <family val="3"/>
      <sz val="11"/>
      <scheme val="minor"/>
    </font>
    <font>
      <name val="맑은 고딕"/>
      <charset val="129"/>
      <family val="2"/>
      <b val="1"/>
      <color theme="1"/>
      <sz val="12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color rgb="FF000000"/>
      <sz val="11"/>
    </font>
    <font>
      <name val="Arial"/>
      <family val="2"/>
      <color theme="0"/>
      <sz val="10"/>
    </font>
    <font>
      <name val="맑은 고딕"/>
      <family val="2"/>
      <color indexed="8"/>
      <sz val="11"/>
      <scheme val="minor"/>
    </font>
    <font>
      <name val="맑은 고딕"/>
      <charset val="129"/>
      <family val="2"/>
      <sz val="11"/>
      <scheme val="minor"/>
    </font>
    <font>
      <name val="Arial"/>
      <family val="2"/>
      <b val="1"/>
      <color theme="1"/>
      <sz val="8"/>
    </font>
    <font>
      <name val="Arial"/>
      <family val="2"/>
      <sz val="8"/>
    </font>
    <font>
      <name val="Arial"/>
      <family val="2"/>
      <sz val="11"/>
    </font>
    <font>
      <name val="맑은 고딕"/>
      <charset val="129"/>
      <family val="3"/>
      <sz val="9"/>
      <scheme val="major"/>
    </font>
    <font>
      <name val="Arial"/>
      <family val="2"/>
      <sz val="12"/>
    </font>
  </fonts>
  <fills count="1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CDEFD3"/>
      </patternFill>
    </fill>
  </fills>
  <borders count="8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1"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 applyAlignment="1">
      <alignment vertical="center"/>
    </xf>
    <xf numFmtId="0" fontId="2" fillId="0" borderId="0" applyAlignment="1">
      <alignment vertical="center"/>
    </xf>
    <xf numFmtId="41" fontId="2" fillId="0" borderId="0" applyAlignment="1">
      <alignment vertical="center"/>
    </xf>
    <xf numFmtId="0" fontId="36" fillId="0" borderId="0" applyAlignment="1">
      <alignment vertical="center"/>
    </xf>
    <xf numFmtId="0" fontId="3" fillId="0" borderId="0" applyProtection="1">
      <protection locked="0" hidden="0"/>
    </xf>
    <xf numFmtId="0" fontId="3" fillId="0" borderId="0"/>
    <xf numFmtId="0" fontId="3" fillId="0" borderId="0" applyAlignment="1">
      <alignment vertical="center"/>
    </xf>
  </cellStyleXfs>
  <cellXfs count="32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vertical="center"/>
    </xf>
    <xf numFmtId="0" fontId="14" fillId="3" borderId="0" applyAlignment="1" pivotButton="0" quotePrefix="0" xfId="0">
      <alignment horizontal="left" vertical="center" wrapText="1"/>
    </xf>
    <xf numFmtId="164" fontId="14" fillId="3" borderId="0" applyAlignment="1" pivotButton="0" quotePrefix="0" xfId="0">
      <alignment horizontal="left" vertical="center" wrapText="1"/>
    </xf>
    <xf numFmtId="0" fontId="17" fillId="3" borderId="0" applyAlignment="1" pivotButton="0" quotePrefix="0" xfId="0">
      <alignment vertical="center"/>
    </xf>
    <xf numFmtId="0" fontId="12" fillId="3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 wrapText="1"/>
    </xf>
    <xf numFmtId="49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8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49" fontId="8" fillId="0" borderId="0" applyAlignment="1" applyProtection="1" pivotButton="0" quotePrefix="0" xfId="0">
      <alignment vertical="center"/>
      <protection locked="0" hidden="0"/>
    </xf>
    <xf numFmtId="49" fontId="8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7" fillId="4" borderId="32" applyAlignment="1" pivotButton="0" quotePrefix="0" xfId="0">
      <alignment horizontal="center" vertical="center"/>
    </xf>
    <xf numFmtId="0" fontId="7" fillId="4" borderId="32" applyAlignment="1" pivotButton="0" quotePrefix="0" xfId="0">
      <alignment horizontal="center" vertical="center" wrapText="1"/>
    </xf>
    <xf numFmtId="165" fontId="10" fillId="0" borderId="4" applyAlignment="1" pivotButton="0" quotePrefix="0" xfId="0">
      <alignment horizontal="center" vertical="center"/>
    </xf>
    <xf numFmtId="165" fontId="10" fillId="0" borderId="7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165" fontId="10" fillId="0" borderId="19" applyAlignment="1" pivotButton="0" quotePrefix="0" xfId="0">
      <alignment horizontal="center" vertical="center"/>
    </xf>
    <xf numFmtId="0" fontId="28" fillId="5" borderId="32" applyAlignment="1" pivotButton="0" quotePrefix="0" xfId="0">
      <alignment horizontal="center" vertical="center"/>
    </xf>
    <xf numFmtId="9" fontId="20" fillId="0" borderId="12" applyAlignment="1" pivotButton="0" quotePrefix="0" xfId="0">
      <alignment horizontal="left" vertical="center" wrapText="1"/>
    </xf>
    <xf numFmtId="9" fontId="20" fillId="0" borderId="4" applyAlignment="1" pivotButton="0" quotePrefix="0" xfId="0">
      <alignment horizontal="left" vertical="center" wrapText="1"/>
    </xf>
    <xf numFmtId="0" fontId="7" fillId="10" borderId="32" applyAlignment="1" pivotButton="0" quotePrefix="0" xfId="0">
      <alignment horizontal="center" vertical="center"/>
    </xf>
    <xf numFmtId="0" fontId="25" fillId="6" borderId="38" applyAlignment="1" pivotButton="0" quotePrefix="0" xfId="0">
      <alignment horizontal="center" vertical="center"/>
    </xf>
    <xf numFmtId="0" fontId="25" fillId="6" borderId="40" applyAlignment="1" pivotButton="0" quotePrefix="0" xfId="0">
      <alignment horizontal="center" vertical="center"/>
    </xf>
    <xf numFmtId="0" fontId="22" fillId="3" borderId="28" applyAlignment="1" pivotButton="0" quotePrefix="0" xfId="0">
      <alignment horizontal="centerContinuous" vertical="center"/>
    </xf>
    <xf numFmtId="0" fontId="0" fillId="3" borderId="29" applyAlignment="1" pivotButton="0" quotePrefix="0" xfId="0">
      <alignment horizontal="centerContinuous" vertical="center"/>
    </xf>
    <xf numFmtId="0" fontId="0" fillId="3" borderId="30" applyAlignment="1" pivotButton="0" quotePrefix="0" xfId="0">
      <alignment horizontal="centerContinuous" vertical="center"/>
    </xf>
    <xf numFmtId="0" fontId="32" fillId="0" borderId="29" applyAlignment="1" pivotButton="0" quotePrefix="0" xfId="0">
      <alignment horizontal="centerContinuous" vertical="center"/>
    </xf>
    <xf numFmtId="0" fontId="32" fillId="0" borderId="30" applyAlignment="1" pivotButton="0" quotePrefix="0" xfId="0">
      <alignment horizontal="centerContinuous" vertical="center"/>
    </xf>
    <xf numFmtId="0" fontId="10" fillId="0" borderId="13" applyAlignment="1" applyProtection="1" pivotButton="0" quotePrefix="1" xfId="0">
      <alignment horizontal="left" vertical="center"/>
      <protection locked="0" hidden="0"/>
    </xf>
    <xf numFmtId="0" fontId="10" fillId="0" borderId="13" applyAlignment="1" applyProtection="1" pivotButton="0" quotePrefix="1" xfId="0">
      <alignment horizontal="center" vertical="center"/>
      <protection locked="0" hidden="0"/>
    </xf>
    <xf numFmtId="166" fontId="10" fillId="0" borderId="14" applyAlignment="1" applyProtection="1" pivotButton="0" quotePrefix="0" xfId="0">
      <alignment vertical="center"/>
      <protection locked="0" hidden="0"/>
    </xf>
    <xf numFmtId="166" fontId="10" fillId="0" borderId="7" applyAlignment="1" applyProtection="1" pivotButton="0" quotePrefix="0" xfId="0">
      <alignment vertical="center"/>
      <protection locked="0" hidden="0"/>
    </xf>
    <xf numFmtId="0" fontId="0" fillId="0" borderId="7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10" fillId="0" borderId="15" applyAlignment="1" applyProtection="1" pivotButton="0" quotePrefix="1" xfId="0">
      <alignment horizontal="left" vertical="center"/>
      <protection locked="0" hidden="0"/>
    </xf>
    <xf numFmtId="0" fontId="10" fillId="0" borderId="15" applyAlignment="1" applyProtection="1" pivotButton="0" quotePrefix="1" xfId="0">
      <alignment horizontal="center" vertical="center"/>
      <protection locked="0" hidden="0"/>
    </xf>
    <xf numFmtId="166" fontId="10" fillId="0" borderId="46" applyAlignment="1" applyProtection="1" pivotButton="0" quotePrefix="0" xfId="0">
      <alignment vertical="center"/>
      <protection locked="0" hidden="0"/>
    </xf>
    <xf numFmtId="166" fontId="10" fillId="0" borderId="47" applyAlignment="1" applyProtection="1" pivotButton="0" quotePrefix="0" xfId="0">
      <alignment vertical="center"/>
      <protection locked="0" hidden="0"/>
    </xf>
    <xf numFmtId="0" fontId="0" fillId="0" borderId="47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33" fillId="4" borderId="45" applyAlignment="1" pivotButton="0" quotePrefix="0" xfId="0">
      <alignment vertical="center"/>
    </xf>
    <xf numFmtId="0" fontId="10" fillId="0" borderId="17" applyAlignment="1" applyProtection="1" pivotButton="0" quotePrefix="1" xfId="0">
      <alignment horizontal="left" vertical="center"/>
      <protection locked="0" hidden="0"/>
    </xf>
    <xf numFmtId="0" fontId="10" fillId="0" borderId="17" applyAlignment="1" applyProtection="1" pivotButton="0" quotePrefix="1" xfId="0">
      <alignment horizontal="center" vertical="center"/>
      <protection locked="0" hidden="0"/>
    </xf>
    <xf numFmtId="166" fontId="10" fillId="0" borderId="18" applyAlignment="1" applyProtection="1" pivotButton="0" quotePrefix="0" xfId="0">
      <alignment vertical="center"/>
      <protection locked="0" hidden="0"/>
    </xf>
    <xf numFmtId="166" fontId="10" fillId="0" borderId="4" applyAlignment="1" applyProtection="1" pivotButton="0" quotePrefix="0" xfId="0">
      <alignment vertical="center"/>
      <protection locked="0" hidden="0"/>
    </xf>
    <xf numFmtId="0" fontId="35" fillId="9" borderId="42" applyAlignment="1" pivotButton="0" quotePrefix="0" xfId="0">
      <alignment horizontal="left" vertical="center" wrapText="1"/>
    </xf>
    <xf numFmtId="165" fontId="0" fillId="0" borderId="0" applyAlignment="1" pivotButton="0" quotePrefix="0" xfId="0">
      <alignment vertical="center"/>
    </xf>
    <xf numFmtId="0" fontId="25" fillId="2" borderId="42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3" fillId="0" borderId="0" applyAlignment="1" applyProtection="1" pivotButton="0" quotePrefix="0" xfId="0">
      <alignment vertical="center"/>
      <protection locked="0" hidden="0"/>
    </xf>
    <xf numFmtId="49" fontId="23" fillId="0" borderId="0" applyAlignment="1" applyProtection="1" pivotButton="0" quotePrefix="0" xfId="0">
      <alignment vertical="center"/>
      <protection locked="0" hidden="0"/>
    </xf>
    <xf numFmtId="0" fontId="23" fillId="0" borderId="0" applyAlignment="1" applyProtection="1" pivotButton="0" quotePrefix="0" xfId="0">
      <alignment horizontal="center" vertical="center"/>
      <protection locked="0" hidden="0"/>
    </xf>
    <xf numFmtId="0" fontId="23" fillId="0" borderId="0" applyAlignment="1" pivotButton="0" quotePrefix="0" xfId="0">
      <alignment horizontal="center" vertical="center"/>
    </xf>
    <xf numFmtId="49" fontId="23" fillId="0" borderId="0" applyAlignment="1" pivotButton="0" quotePrefix="0" xfId="0">
      <alignment vertical="center"/>
    </xf>
    <xf numFmtId="166" fontId="10" fillId="0" borderId="44" applyAlignment="1" applyProtection="1" pivotButton="0" quotePrefix="0" xfId="0">
      <alignment vertical="center"/>
      <protection locked="0" hidden="0"/>
    </xf>
    <xf numFmtId="166" fontId="10" fillId="0" borderId="16" applyAlignment="1" applyProtection="1" pivotButton="0" quotePrefix="0" xfId="0">
      <alignment vertical="center"/>
      <protection locked="0" hidden="0"/>
    </xf>
    <xf numFmtId="166" fontId="10" fillId="0" borderId="48" applyAlignment="1" applyProtection="1" pivotButton="0" quotePrefix="0" xfId="0">
      <alignment vertical="center"/>
      <protection locked="0" hidden="0"/>
    </xf>
    <xf numFmtId="0" fontId="31" fillId="0" borderId="24" applyAlignment="1" pivotButton="0" quotePrefix="0" xfId="0">
      <alignment horizontal="centerContinuous" vertical="center" wrapText="1"/>
    </xf>
    <xf numFmtId="0" fontId="0" fillId="0" borderId="13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164" fontId="4" fillId="8" borderId="52" applyAlignment="1" pivotButton="0" quotePrefix="0" xfId="0">
      <alignment horizontal="center" vertical="center" wrapText="1"/>
    </xf>
    <xf numFmtId="0" fontId="18" fillId="8" borderId="52" applyAlignment="1" pivotButton="0" quotePrefix="0" xfId="3">
      <alignment horizontal="center" vertical="center" wrapText="1"/>
    </xf>
    <xf numFmtId="167" fontId="18" fillId="8" borderId="52" applyAlignment="1" pivotButton="0" quotePrefix="0" xfId="2">
      <alignment horizontal="center" vertical="center" wrapText="1"/>
    </xf>
    <xf numFmtId="49" fontId="4" fillId="8" borderId="52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left" vertical="center"/>
    </xf>
    <xf numFmtId="0" fontId="30" fillId="4" borderId="52" applyAlignment="1" pivotButton="0" quotePrefix="0" xfId="0">
      <alignment horizontal="center" vertical="center"/>
    </xf>
    <xf numFmtId="166" fontId="10" fillId="0" borderId="55" applyAlignment="1" applyProtection="1" pivotButton="0" quotePrefix="0" xfId="0">
      <alignment vertical="center"/>
      <protection locked="0" hidden="0"/>
    </xf>
    <xf numFmtId="166" fontId="10" fillId="0" borderId="56" applyAlignment="1" applyProtection="1" pivotButton="0" quotePrefix="0" xfId="0">
      <alignment vertical="center"/>
      <protection locked="0" hidden="0"/>
    </xf>
    <xf numFmtId="166" fontId="10" fillId="0" borderId="57" applyAlignment="1" applyProtection="1" pivotButton="0" quotePrefix="0" xfId="0">
      <alignment vertical="center"/>
      <protection locked="0" hidden="0"/>
    </xf>
    <xf numFmtId="0" fontId="0" fillId="0" borderId="56" applyAlignment="1" pivotButton="0" quotePrefix="0" xfId="0">
      <alignment vertical="center"/>
    </xf>
    <xf numFmtId="0" fontId="0" fillId="0" borderId="57" applyAlignment="1" pivotButton="0" quotePrefix="0" xfId="0">
      <alignment vertical="center"/>
    </xf>
    <xf numFmtId="0" fontId="0" fillId="0" borderId="54" applyAlignment="1" pivotButton="0" quotePrefix="0" xfId="0">
      <alignment vertical="center"/>
    </xf>
    <xf numFmtId="0" fontId="10" fillId="0" borderId="54" applyAlignment="1" applyProtection="1" pivotButton="0" quotePrefix="1" xfId="0">
      <alignment horizontal="center" vertical="center"/>
      <protection locked="0" hidden="0"/>
    </xf>
    <xf numFmtId="49" fontId="0" fillId="3" borderId="29" applyAlignment="1" pivotButton="0" quotePrefix="0" xfId="0">
      <alignment horizontal="centerContinuous" vertical="center"/>
    </xf>
    <xf numFmtId="49" fontId="30" fillId="4" borderId="52" applyAlignment="1" pivotButton="0" quotePrefix="0" xfId="0">
      <alignment horizontal="center" vertical="center"/>
    </xf>
    <xf numFmtId="49" fontId="10" fillId="0" borderId="7" applyAlignment="1" applyProtection="1" pivotButton="0" quotePrefix="0" xfId="0">
      <alignment vertical="center"/>
      <protection locked="0" hidden="0"/>
    </xf>
    <xf numFmtId="49" fontId="10" fillId="0" borderId="56" applyAlignment="1" applyProtection="1" pivotButton="0" quotePrefix="0" xfId="0">
      <alignment vertical="center"/>
      <protection locked="0" hidden="0"/>
    </xf>
    <xf numFmtId="49" fontId="10" fillId="0" borderId="47" applyAlignment="1" applyProtection="1" pivotButton="0" quotePrefix="0" xfId="0">
      <alignment vertical="center"/>
      <protection locked="0" hidden="0"/>
    </xf>
    <xf numFmtId="49" fontId="10" fillId="0" borderId="4" applyAlignment="1" applyProtection="1" pivotButton="0" quotePrefix="0" xfId="0">
      <alignment vertical="center"/>
      <protection locked="0" hidden="0"/>
    </xf>
    <xf numFmtId="49" fontId="31" fillId="0" borderId="28" applyAlignment="1" pivotButton="0" quotePrefix="0" xfId="0">
      <alignment horizontal="centerContinuous" vertical="center"/>
    </xf>
    <xf numFmtId="49" fontId="0" fillId="0" borderId="14" applyAlignment="1" pivotButton="0" quotePrefix="0" xfId="0">
      <alignment vertical="center"/>
    </xf>
    <xf numFmtId="49" fontId="0" fillId="0" borderId="55" applyAlignment="1" pivotButton="0" quotePrefix="0" xfId="0">
      <alignment vertical="center"/>
    </xf>
    <xf numFmtId="49" fontId="0" fillId="0" borderId="46" applyAlignment="1" pivotButton="0" quotePrefix="0" xfId="0">
      <alignment vertical="center"/>
    </xf>
    <xf numFmtId="49" fontId="32" fillId="0" borderId="29" applyAlignment="1" pivotButton="0" quotePrefix="0" xfId="0">
      <alignment horizontal="centerContinuous" vertical="center"/>
    </xf>
    <xf numFmtId="49" fontId="0" fillId="0" borderId="7" applyAlignment="1" pivotButton="0" quotePrefix="0" xfId="0">
      <alignment vertical="center"/>
    </xf>
    <xf numFmtId="49" fontId="0" fillId="0" borderId="56" applyAlignment="1" pivotButton="0" quotePrefix="0" xfId="0">
      <alignment vertical="center"/>
    </xf>
    <xf numFmtId="49" fontId="0" fillId="0" borderId="47" applyAlignment="1" pivotButton="0" quotePrefix="0" xfId="0">
      <alignment vertical="center"/>
    </xf>
    <xf numFmtId="0" fontId="10" fillId="0" borderId="54" applyAlignment="1" applyProtection="1" pivotButton="0" quotePrefix="1" xfId="0">
      <alignment horizontal="left" vertical="center"/>
      <protection locked="0" hidden="0"/>
    </xf>
    <xf numFmtId="49" fontId="0" fillId="0" borderId="18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49" fontId="0" fillId="0" borderId="4" applyAlignment="1" pivotButton="0" quotePrefix="0" xfId="0">
      <alignment vertical="center"/>
    </xf>
    <xf numFmtId="0" fontId="0" fillId="0" borderId="48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168" fontId="10" fillId="0" borderId="4" applyAlignment="1" pivotButton="0" quotePrefix="0" xfId="0">
      <alignment horizontal="center" vertical="center"/>
    </xf>
    <xf numFmtId="0" fontId="0" fillId="4" borderId="8" applyAlignment="1" pivotButton="0" quotePrefix="0" xfId="0">
      <alignment horizontal="center" vertical="center" wrapText="1"/>
    </xf>
    <xf numFmtId="0" fontId="0" fillId="7" borderId="8" applyAlignment="1" pivotButton="0" quotePrefix="0" xfId="0">
      <alignment horizontal="center" vertical="center"/>
    </xf>
    <xf numFmtId="0" fontId="7" fillId="7" borderId="20" applyAlignment="1" applyProtection="1" pivotButton="0" quotePrefix="0" xfId="0">
      <alignment horizontal="center" vertical="center"/>
      <protection locked="0" hidden="0"/>
    </xf>
    <xf numFmtId="49" fontId="7" fillId="7" borderId="22" applyAlignment="1" applyProtection="1" pivotButton="0" quotePrefix="0" xfId="0">
      <alignment horizontal="center" vertical="center"/>
      <protection locked="0" hidden="0"/>
    </xf>
    <xf numFmtId="0" fontId="7" fillId="7" borderId="22" applyAlignment="1" applyProtection="1" pivotButton="0" quotePrefix="0" xfId="0">
      <alignment horizontal="center" vertical="center"/>
      <protection locked="0" hidden="0"/>
    </xf>
    <xf numFmtId="0" fontId="7" fillId="7" borderId="23" applyAlignment="1" applyProtection="1" pivotButton="0" quotePrefix="0" xfId="0">
      <alignment horizontal="center" vertical="center"/>
      <protection locked="0" hidden="0"/>
    </xf>
    <xf numFmtId="49" fontId="7" fillId="7" borderId="20" applyAlignment="1" applyProtection="1" pivotButton="0" quotePrefix="0" xfId="0">
      <alignment horizontal="center" vertical="center"/>
      <protection locked="0" hidden="0"/>
    </xf>
    <xf numFmtId="0" fontId="7" fillId="7" borderId="8" applyAlignment="1" applyProtection="1" pivotButton="0" quotePrefix="0" xfId="0">
      <alignment horizontal="center" vertical="center"/>
      <protection locked="0" hidden="0"/>
    </xf>
    <xf numFmtId="0" fontId="10" fillId="0" borderId="25" applyAlignment="1" applyProtection="1" pivotButton="0" quotePrefix="1" xfId="0">
      <alignment horizontal="left" vertical="center"/>
      <protection locked="0" hidden="0"/>
    </xf>
    <xf numFmtId="0" fontId="10" fillId="0" borderId="25" applyAlignment="1" applyProtection="1" pivotButton="0" quotePrefix="1" xfId="0">
      <alignment horizontal="center" vertical="center"/>
      <protection locked="0" hidden="0"/>
    </xf>
    <xf numFmtId="166" fontId="10" fillId="0" borderId="33" applyAlignment="1" applyProtection="1" pivotButton="0" quotePrefix="0" xfId="0">
      <alignment vertical="center"/>
      <protection locked="0" hidden="0"/>
    </xf>
    <xf numFmtId="49" fontId="10" fillId="0" borderId="41" applyAlignment="1" applyProtection="1" pivotButton="0" quotePrefix="0" xfId="0">
      <alignment vertical="center"/>
      <protection locked="0" hidden="0"/>
    </xf>
    <xf numFmtId="166" fontId="10" fillId="0" borderId="41" applyAlignment="1" applyProtection="1" pivotButton="0" quotePrefix="0" xfId="0">
      <alignment vertical="center"/>
      <protection locked="0" hidden="0"/>
    </xf>
    <xf numFmtId="166" fontId="10" fillId="0" borderId="34" applyAlignment="1" applyProtection="1" pivotButton="0" quotePrefix="0" xfId="0">
      <alignment vertical="center"/>
      <protection locked="0" hidden="0"/>
    </xf>
    <xf numFmtId="49" fontId="0" fillId="0" borderId="33" applyAlignment="1" pivotButton="0" quotePrefix="0" xfId="0">
      <alignment vertical="center"/>
    </xf>
    <xf numFmtId="0" fontId="0" fillId="0" borderId="41" applyAlignment="1" pivotButton="0" quotePrefix="0" xfId="0">
      <alignment vertical="center"/>
    </xf>
    <xf numFmtId="49" fontId="0" fillId="0" borderId="41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50" applyAlignment="1" pivotButton="0" quotePrefix="0" xfId="0">
      <alignment vertical="center"/>
    </xf>
    <xf numFmtId="0" fontId="0" fillId="0" borderId="51" applyAlignment="1" pivotButton="0" quotePrefix="0" xfId="0">
      <alignment vertical="center"/>
    </xf>
    <xf numFmtId="0" fontId="10" fillId="0" borderId="60" applyAlignment="1" applyProtection="1" pivotButton="0" quotePrefix="1" xfId="0">
      <alignment horizontal="left" vertical="center"/>
      <protection locked="0" hidden="0"/>
    </xf>
    <xf numFmtId="0" fontId="10" fillId="0" borderId="60" applyAlignment="1" applyProtection="1" pivotButton="0" quotePrefix="1" xfId="0">
      <alignment horizontal="center" vertical="center"/>
      <protection locked="0" hidden="0"/>
    </xf>
    <xf numFmtId="166" fontId="10" fillId="0" borderId="21" applyAlignment="1" applyProtection="1" pivotButton="0" quotePrefix="0" xfId="0">
      <alignment vertical="center"/>
      <protection locked="0" hidden="0"/>
    </xf>
    <xf numFmtId="49" fontId="10" fillId="0" borderId="43" applyAlignment="1" applyProtection="1" pivotButton="0" quotePrefix="0" xfId="0">
      <alignment vertical="center"/>
      <protection locked="0" hidden="0"/>
    </xf>
    <xf numFmtId="166" fontId="10" fillId="0" borderId="43" applyAlignment="1" applyProtection="1" pivotButton="0" quotePrefix="0" xfId="0">
      <alignment vertical="center"/>
      <protection locked="0" hidden="0"/>
    </xf>
    <xf numFmtId="166" fontId="10" fillId="0" borderId="31" applyAlignment="1" applyProtection="1" pivotButton="0" quotePrefix="0" xfId="0">
      <alignment vertical="center"/>
      <protection locked="0" hidden="0"/>
    </xf>
    <xf numFmtId="49" fontId="0" fillId="0" borderId="21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49" fontId="0" fillId="0" borderId="43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60" applyAlignment="1" pivotButton="0" quotePrefix="0" xfId="0">
      <alignment vertical="center"/>
    </xf>
    <xf numFmtId="0" fontId="0" fillId="0" borderId="49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9" fontId="20" fillId="0" borderId="19" applyAlignment="1" pivotButton="0" quotePrefix="0" xfId="0">
      <alignment horizontal="left" vertical="center" wrapText="1"/>
    </xf>
    <xf numFmtId="168" fontId="10" fillId="0" borderId="19" applyAlignment="1" pivotButton="0" quotePrefix="0" xfId="0">
      <alignment horizontal="center" vertical="center"/>
    </xf>
    <xf numFmtId="0" fontId="10" fillId="0" borderId="19" applyAlignment="1" pivotButton="0" quotePrefix="1" xfId="0">
      <alignment horizontal="center" vertical="center"/>
    </xf>
    <xf numFmtId="0" fontId="26" fillId="0" borderId="0" applyAlignment="1" pivotButton="0" quotePrefix="0" xfId="0">
      <alignment vertical="center"/>
    </xf>
    <xf numFmtId="49" fontId="18" fillId="4" borderId="61" applyAlignment="1" applyProtection="1" pivotButton="0" quotePrefix="0" xfId="0">
      <alignment horizontal="center" vertical="center" wrapText="1"/>
      <protection locked="0" hidden="0"/>
    </xf>
    <xf numFmtId="49" fontId="18" fillId="7" borderId="61" applyAlignment="1" applyProtection="1" pivotButton="0" quotePrefix="0" xfId="0">
      <alignment horizontal="center" vertical="center" wrapText="1"/>
      <protection locked="0" hidden="0"/>
    </xf>
    <xf numFmtId="0" fontId="18" fillId="4" borderId="61" applyAlignment="1" applyProtection="1" pivotButton="0" quotePrefix="0" xfId="0">
      <alignment horizontal="center" vertical="center" wrapText="1"/>
      <protection locked="0" hidden="0"/>
    </xf>
    <xf numFmtId="0" fontId="18" fillId="7" borderId="61" applyAlignment="1" pivotButton="0" quotePrefix="0" xfId="0">
      <alignment horizontal="center" vertical="center" wrapText="1"/>
    </xf>
    <xf numFmtId="0" fontId="8" fillId="9" borderId="58" applyAlignment="1" pivotButton="0" quotePrefix="0" xfId="0">
      <alignment horizontal="center" vertical="center"/>
    </xf>
    <xf numFmtId="0" fontId="16" fillId="2" borderId="62" applyAlignment="1" pivotButton="0" quotePrefix="0" xfId="0">
      <alignment horizontal="center" vertical="center"/>
    </xf>
    <xf numFmtId="0" fontId="18" fillId="9" borderId="61" applyAlignment="1" applyProtection="1" pivotButton="0" quotePrefix="0" xfId="0">
      <alignment horizontal="center" vertical="center" wrapText="1"/>
      <protection locked="0" hidden="0"/>
    </xf>
    <xf numFmtId="165" fontId="0" fillId="7" borderId="8" applyAlignment="1" pivotButton="0" quotePrefix="0" xfId="0">
      <alignment horizontal="center" vertical="center"/>
    </xf>
    <xf numFmtId="165" fontId="10" fillId="0" borderId="13" applyAlignment="1" applyProtection="1" pivotButton="0" quotePrefix="1" xfId="0">
      <alignment horizontal="left" vertical="center"/>
      <protection locked="0" hidden="0"/>
    </xf>
    <xf numFmtId="165" fontId="10" fillId="0" borderId="54" applyAlignment="1" applyProtection="1" pivotButton="0" quotePrefix="1" xfId="0">
      <alignment horizontal="left" vertical="center"/>
      <protection locked="0" hidden="0"/>
    </xf>
    <xf numFmtId="165" fontId="0" fillId="4" borderId="53" applyAlignment="1" pivotButton="0" quotePrefix="0" xfId="0">
      <alignment vertical="center"/>
    </xf>
    <xf numFmtId="165" fontId="10" fillId="0" borderId="15" applyAlignment="1" applyProtection="1" pivotButton="0" quotePrefix="1" xfId="0">
      <alignment horizontal="left" vertical="center"/>
      <protection locked="0" hidden="0"/>
    </xf>
    <xf numFmtId="165" fontId="10" fillId="0" borderId="25" applyAlignment="1" applyProtection="1" pivotButton="0" quotePrefix="1" xfId="0">
      <alignment horizontal="left" vertical="center"/>
      <protection locked="0" hidden="0"/>
    </xf>
    <xf numFmtId="165" fontId="10" fillId="0" borderId="17" applyAlignment="1" applyProtection="1" pivotButton="0" quotePrefix="1" xfId="0">
      <alignment horizontal="left" vertical="center"/>
      <protection locked="0" hidden="0"/>
    </xf>
    <xf numFmtId="165" fontId="10" fillId="0" borderId="60" applyAlignment="1" applyProtection="1" pivotButton="0" quotePrefix="1" xfId="0">
      <alignment horizontal="left" vertical="center"/>
      <protection locked="0" hidden="0"/>
    </xf>
    <xf numFmtId="0" fontId="16" fillId="0" borderId="64" applyAlignment="1" pivotButton="0" quotePrefix="0" xfId="0">
      <alignment horizontal="center" vertical="center"/>
    </xf>
    <xf numFmtId="49" fontId="18" fillId="0" borderId="64" applyAlignment="1" applyProtection="1" pivotButton="0" quotePrefix="0" xfId="0">
      <alignment horizontal="center" vertical="center" wrapText="1"/>
      <protection locked="0" hidden="0"/>
    </xf>
    <xf numFmtId="0" fontId="18" fillId="0" borderId="64" applyAlignment="1" applyProtection="1" pivotButton="0" quotePrefix="0" xfId="0">
      <alignment horizontal="center" vertical="center" wrapText="1"/>
      <protection locked="0" hidden="0"/>
    </xf>
    <xf numFmtId="0" fontId="18" fillId="0" borderId="64" applyAlignment="1" pivotButton="0" quotePrefix="0" xfId="0">
      <alignment horizontal="center" vertical="center" wrapText="1"/>
    </xf>
    <xf numFmtId="0" fontId="18" fillId="0" borderId="64" applyAlignment="1" applyProtection="1" pivotButton="0" quotePrefix="0" xfId="0">
      <alignment horizontal="center" vertical="center"/>
      <protection locked="0" hidden="0"/>
    </xf>
    <xf numFmtId="0" fontId="18" fillId="0" borderId="64" applyAlignment="1" applyProtection="1" pivotButton="0" quotePrefix="0" xfId="0">
      <alignment horizontal="left" vertical="center" wrapText="1"/>
      <protection locked="0" hidden="0"/>
    </xf>
    <xf numFmtId="0" fontId="16" fillId="0" borderId="64" applyAlignment="1" pivotButton="0" quotePrefix="0" xfId="0">
      <alignment horizontal="left" vertical="center" wrapText="1"/>
    </xf>
    <xf numFmtId="165" fontId="16" fillId="0" borderId="64" applyAlignment="1" pivotButton="0" quotePrefix="0" xfId="0">
      <alignment horizontal="center" vertical="center"/>
    </xf>
    <xf numFmtId="49" fontId="16" fillId="0" borderId="64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49" fontId="15" fillId="0" borderId="0" applyAlignment="1" pivotButton="0" quotePrefix="0" xfId="0">
      <alignment horizontal="center" vertical="center"/>
    </xf>
    <xf numFmtId="0" fontId="15" fillId="0" borderId="0" applyAlignment="1" applyProtection="1" pivotButton="0" quotePrefix="0" xfId="0">
      <alignment horizontal="center" vertical="center"/>
      <protection locked="0" hidden="0"/>
    </xf>
    <xf numFmtId="49" fontId="15" fillId="0" borderId="0" applyAlignment="1" applyProtection="1" pivotButton="0" quotePrefix="0" xfId="0">
      <alignment horizontal="center" vertical="center"/>
      <protection locked="0" hidden="0"/>
    </xf>
    <xf numFmtId="0" fontId="17" fillId="3" borderId="0" applyAlignment="1" pivotButton="0" quotePrefix="0" xfId="0">
      <alignment vertical="center" wrapText="1"/>
    </xf>
    <xf numFmtId="164" fontId="29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left" vertical="center"/>
    </xf>
    <xf numFmtId="0" fontId="15" fillId="0" borderId="65" applyAlignment="1" pivotButton="0" quotePrefix="0" xfId="0">
      <alignment horizontal="center" vertical="center"/>
    </xf>
    <xf numFmtId="0" fontId="15" fillId="0" borderId="65" applyAlignment="1" pivotButton="0" quotePrefix="0" xfId="0">
      <alignment horizontal="center" vertical="center" wrapText="1"/>
    </xf>
    <xf numFmtId="0" fontId="15" fillId="0" borderId="65" applyAlignment="1" pivotButton="0" quotePrefix="0" xfId="0">
      <alignment horizontal="left" vertical="center" wrapText="1"/>
    </xf>
    <xf numFmtId="169" fontId="15" fillId="0" borderId="65" applyAlignment="1" pivotButton="0" quotePrefix="0" xfId="0">
      <alignment horizontal="center" vertical="center"/>
    </xf>
    <xf numFmtId="49" fontId="15" fillId="0" borderId="65" applyAlignment="1" pivotButton="0" quotePrefix="0" xfId="0">
      <alignment horizontal="center" vertical="center"/>
    </xf>
    <xf numFmtId="0" fontId="37" fillId="0" borderId="0" applyAlignment="1" pivotButton="0" quotePrefix="0" xfId="0">
      <alignment vertical="center"/>
    </xf>
    <xf numFmtId="170" fontId="39" fillId="0" borderId="7" applyAlignment="1" applyProtection="1" pivotButton="0" quotePrefix="0" xfId="1">
      <alignment horizontal="center" vertical="center"/>
      <protection locked="0" hidden="0"/>
    </xf>
    <xf numFmtId="167" fontId="39" fillId="0" borderId="7" applyAlignment="1" applyProtection="1" pivotButton="0" quotePrefix="0" xfId="1">
      <alignment horizontal="center" vertical="center"/>
      <protection locked="0" hidden="0"/>
    </xf>
    <xf numFmtId="0" fontId="40" fillId="0" borderId="0" applyAlignment="1" pivotButton="0" quotePrefix="0" xfId="10">
      <alignment vertical="center"/>
    </xf>
    <xf numFmtId="0" fontId="41" fillId="0" borderId="0" applyAlignment="1" pivotButton="0" quotePrefix="0" xfId="0">
      <alignment vertical="center" wrapText="1"/>
    </xf>
    <xf numFmtId="0" fontId="42" fillId="0" borderId="0" applyAlignment="1" pivotButton="0" quotePrefix="0" xfId="10">
      <alignment horizontal="left" vertical="center" indent="1"/>
    </xf>
    <xf numFmtId="0" fontId="15" fillId="4" borderId="65" applyAlignment="1" pivotButton="0" quotePrefix="0" xfId="0">
      <alignment horizontal="center" vertical="center"/>
    </xf>
    <xf numFmtId="0" fontId="15" fillId="4" borderId="65" applyAlignment="1" pivotButton="0" quotePrefix="0" xfId="0">
      <alignment horizontal="center" vertical="center" wrapText="1"/>
    </xf>
    <xf numFmtId="0" fontId="15" fillId="4" borderId="65" applyAlignment="1" pivotButton="0" quotePrefix="0" xfId="0">
      <alignment horizontal="left" vertical="center" wrapText="1"/>
    </xf>
    <xf numFmtId="169" fontId="15" fillId="4" borderId="65" applyAlignment="1" pivotButton="0" quotePrefix="0" xfId="0">
      <alignment horizontal="center" vertical="center"/>
    </xf>
    <xf numFmtId="49" fontId="15" fillId="4" borderId="65" applyAlignment="1" pivotButton="0" quotePrefix="0" xfId="0">
      <alignment horizontal="center" vertical="center"/>
    </xf>
    <xf numFmtId="49" fontId="4" fillId="8" borderId="5" applyAlignment="1" pivotButton="0" quotePrefix="0" xfId="0">
      <alignment horizontal="center" vertical="center" wrapText="1"/>
    </xf>
    <xf numFmtId="49" fontId="4" fillId="8" borderId="6" applyAlignment="1" pivotButton="0" quotePrefix="0" xfId="0">
      <alignment horizontal="center" vertical="center" wrapText="1"/>
    </xf>
    <xf numFmtId="0" fontId="18" fillId="8" borderId="5" applyAlignment="1" pivotButton="0" quotePrefix="0" xfId="3">
      <alignment horizontal="left" vertical="center" wrapText="1"/>
    </xf>
    <xf numFmtId="0" fontId="18" fillId="8" borderId="6" applyAlignment="1" pivotButton="0" quotePrefix="0" xfId="3">
      <alignment horizontal="left" vertical="center" wrapText="1"/>
    </xf>
    <xf numFmtId="0" fontId="18" fillId="8" borderId="5" applyAlignment="1" pivotButton="0" quotePrefix="0" xfId="3">
      <alignment horizontal="center" vertical="center" wrapText="1"/>
    </xf>
    <xf numFmtId="0" fontId="18" fillId="8" borderId="6" applyAlignment="1" pivotButton="0" quotePrefix="0" xfId="3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164" fontId="4" fillId="8" borderId="3" applyAlignment="1" pivotButton="0" quotePrefix="0" xfId="0">
      <alignment horizontal="center" vertical="center" wrapText="1"/>
    </xf>
    <xf numFmtId="164" fontId="4" fillId="8" borderId="2" applyAlignment="1" pivotButton="0" quotePrefix="0" xfId="0">
      <alignment horizontal="center" vertical="center" wrapText="1"/>
    </xf>
    <xf numFmtId="49" fontId="4" fillId="8" borderId="1" applyAlignment="1" pivotButton="0" quotePrefix="0" xfId="0">
      <alignment horizontal="center" vertical="center" wrapText="1"/>
    </xf>
    <xf numFmtId="49" fontId="4" fillId="8" borderId="2" applyAlignment="1" pivotButton="0" quotePrefix="0" xfId="0">
      <alignment horizontal="center" vertical="center" wrapText="1"/>
    </xf>
    <xf numFmtId="49" fontId="4" fillId="8" borderId="3" applyAlignment="1" pivotButton="0" quotePrefix="0" xfId="0">
      <alignment horizontal="center" vertical="center" wrapText="1"/>
    </xf>
    <xf numFmtId="0" fontId="38" fillId="8" borderId="5" applyAlignment="1" pivotButton="0" quotePrefix="0" xfId="3">
      <alignment horizontal="center" vertical="center" wrapText="1"/>
    </xf>
    <xf numFmtId="0" fontId="38" fillId="8" borderId="6" applyAlignment="1" pivotButton="0" quotePrefix="0" xfId="3">
      <alignment horizontal="center" vertical="center" wrapText="1"/>
    </xf>
    <xf numFmtId="0" fontId="18" fillId="8" borderId="63" applyAlignment="1" pivotButton="0" quotePrefix="0" xfId="0">
      <alignment horizontal="center" vertical="center" wrapText="1"/>
    </xf>
    <xf numFmtId="0" fontId="18" fillId="8" borderId="52" applyAlignment="1" pivotButton="0" quotePrefix="0" xfId="0">
      <alignment horizontal="center" vertical="center" wrapText="1"/>
    </xf>
    <xf numFmtId="0" fontId="18" fillId="8" borderId="5" applyAlignment="1" pivotButton="0" quotePrefix="0" xfId="0">
      <alignment horizontal="center" vertical="center" wrapText="1"/>
    </xf>
    <xf numFmtId="0" fontId="18" fillId="8" borderId="6" applyAlignment="1" pivotButton="0" quotePrefix="0" xfId="0">
      <alignment horizontal="center" vertical="center" wrapText="1"/>
    </xf>
    <xf numFmtId="165" fontId="18" fillId="0" borderId="64" applyAlignment="1" applyProtection="1" pivotButton="0" quotePrefix="0" xfId="0">
      <alignment horizontal="center" vertical="center" wrapText="1"/>
      <protection locked="0" hidden="0"/>
    </xf>
    <xf numFmtId="0" fontId="4" fillId="0" borderId="64" applyAlignment="1" pivotButton="0" quotePrefix="0" xfId="0">
      <alignment horizontal="center" vertical="center"/>
    </xf>
    <xf numFmtId="0" fontId="0" fillId="11" borderId="59" applyAlignment="1" pivotButton="0" quotePrefix="0" xfId="0">
      <alignment horizontal="center" vertical="center"/>
    </xf>
    <xf numFmtId="0" fontId="18" fillId="7" borderId="61" applyAlignment="1" applyProtection="1" pivotButton="0" quotePrefix="0" xfId="0">
      <alignment horizontal="center" vertical="center"/>
      <protection locked="0" hidden="0"/>
    </xf>
    <xf numFmtId="49" fontId="18" fillId="4" borderId="61" applyAlignment="1" applyProtection="1" pivotButton="0" quotePrefix="0" xfId="0">
      <alignment horizontal="center" vertical="center" wrapText="1"/>
      <protection locked="0" hidden="0"/>
    </xf>
    <xf numFmtId="0" fontId="4" fillId="7" borderId="61" applyAlignment="1" pivotButton="0" quotePrefix="0" xfId="0">
      <alignment horizontal="center" vertical="center" wrapText="1"/>
    </xf>
    <xf numFmtId="0" fontId="18" fillId="4" borderId="61" applyAlignment="1" applyProtection="1" pivotButton="0" quotePrefix="0" xfId="0">
      <alignment horizontal="center" vertical="center" wrapText="1"/>
      <protection locked="0" hidden="0"/>
    </xf>
    <xf numFmtId="0" fontId="18" fillId="7" borderId="61" applyAlignment="1" applyProtection="1" pivotButton="0" quotePrefix="0" xfId="0">
      <alignment horizontal="center" vertical="center" wrapText="1"/>
      <protection locked="0" hidden="0"/>
    </xf>
    <xf numFmtId="49" fontId="18" fillId="7" borderId="61" applyAlignment="1" applyProtection="1" pivotButton="0" quotePrefix="0" xfId="0">
      <alignment horizontal="center" vertical="center" wrapText="1"/>
      <protection locked="0" hidden="0"/>
    </xf>
    <xf numFmtId="0" fontId="27" fillId="0" borderId="4" applyAlignment="1" pivotButton="0" quotePrefix="0" xfId="0">
      <alignment horizontal="center" vertical="center"/>
    </xf>
    <xf numFmtId="0" fontId="27" fillId="0" borderId="7" applyAlignment="1" pivotButton="0" quotePrefix="0" xfId="0">
      <alignment horizontal="center" vertical="center"/>
    </xf>
    <xf numFmtId="0" fontId="27" fillId="0" borderId="56" applyAlignment="1" pivotButton="0" quotePrefix="0" xfId="0">
      <alignment horizontal="center" vertical="center"/>
    </xf>
    <xf numFmtId="0" fontId="27" fillId="0" borderId="19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0" fontId="7" fillId="6" borderId="35" applyAlignment="1" pivotButton="0" quotePrefix="0" xfId="0">
      <alignment horizontal="center" vertical="center" wrapText="1"/>
    </xf>
    <xf numFmtId="0" fontId="7" fillId="6" borderId="36" applyAlignment="1" pivotButton="0" quotePrefix="0" xfId="0">
      <alignment horizontal="center" vertical="center" wrapText="1"/>
    </xf>
    <xf numFmtId="0" fontId="7" fillId="6" borderId="41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7" fillId="6" borderId="18" applyAlignment="1" pivotButton="0" quotePrefix="0" xfId="0">
      <alignment horizontal="center" vertical="center" wrapText="1"/>
    </xf>
    <xf numFmtId="0" fontId="7" fillId="6" borderId="27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7" fillId="6" borderId="26" applyAlignment="1" pivotButton="0" quotePrefix="0" xfId="0">
      <alignment horizontal="center" vertical="center" wrapText="1"/>
    </xf>
    <xf numFmtId="0" fontId="25" fillId="6" borderId="37" applyAlignment="1" pivotButton="0" quotePrefix="0" xfId="0">
      <alignment horizontal="center" vertical="center"/>
    </xf>
    <xf numFmtId="0" fontId="25" fillId="6" borderId="39" applyAlignment="1" pivotButton="0" quotePrefix="0" xfId="0">
      <alignment horizontal="center" vertical="center"/>
    </xf>
    <xf numFmtId="0" fontId="25" fillId="6" borderId="10" applyAlignment="1" pivotButton="0" quotePrefix="0" xfId="0">
      <alignment horizontal="center" vertical="center" wrapText="1"/>
    </xf>
    <xf numFmtId="0" fontId="25" fillId="6" borderId="31" applyAlignment="1" pivotButton="0" quotePrefix="0" xfId="0">
      <alignment horizontal="center" vertical="center" wrapText="1"/>
    </xf>
    <xf numFmtId="0" fontId="25" fillId="6" borderId="34" applyAlignment="1" pivotButton="0" quotePrefix="0" xfId="0">
      <alignment horizontal="center" vertical="center" wrapText="1"/>
    </xf>
    <xf numFmtId="0" fontId="25" fillId="6" borderId="16" applyAlignment="1" pivotButton="0" quotePrefix="0" xfId="0">
      <alignment horizontal="center" vertical="center"/>
    </xf>
    <xf numFmtId="0" fontId="25" fillId="4" borderId="9" applyAlignment="1" applyProtection="1" pivotButton="0" quotePrefix="0" xfId="0">
      <alignment horizontal="center" vertical="center" wrapText="1"/>
      <protection locked="0" hidden="0"/>
    </xf>
    <xf numFmtId="0" fontId="25" fillId="4" borderId="6" applyAlignment="1" applyProtection="1" pivotButton="0" quotePrefix="0" xfId="0">
      <alignment horizontal="center" vertical="center"/>
      <protection locked="0" hidden="0"/>
    </xf>
    <xf numFmtId="0" fontId="7" fillId="9" borderId="35" applyAlignment="1" pivotButton="0" quotePrefix="0" xfId="0">
      <alignment horizontal="center" vertical="center" wrapText="1"/>
    </xf>
    <xf numFmtId="0" fontId="7" fillId="9" borderId="36" applyAlignment="1" pivotButton="0" quotePrefix="0" xfId="0">
      <alignment horizontal="center" vertical="center" wrapText="1"/>
    </xf>
    <xf numFmtId="0" fontId="25" fillId="4" borderId="33" applyAlignment="1" applyProtection="1" pivotButton="0" quotePrefix="0" xfId="0">
      <alignment horizontal="center" vertical="center" wrapText="1"/>
      <protection locked="0" hidden="0"/>
    </xf>
    <xf numFmtId="0" fontId="25" fillId="4" borderId="27" applyAlignment="1" applyProtection="1" pivotButton="0" quotePrefix="0" xfId="0">
      <alignment horizontal="center" vertical="center" wrapText="1"/>
      <protection locked="0" hidden="0"/>
    </xf>
    <xf numFmtId="0" fontId="15" fillId="12" borderId="65" applyAlignment="1" pivotButton="0" quotePrefix="0" xfId="0">
      <alignment horizontal="center" vertical="center"/>
    </xf>
    <xf numFmtId="0" fontId="0" fillId="0" borderId="0" pivotButton="0" quotePrefix="0" xfId="0"/>
    <xf numFmtId="164" fontId="14" fillId="3" borderId="0" applyAlignment="1" pivotButton="0" quotePrefix="0" xfId="0">
      <alignment horizontal="left" vertical="center" wrapText="1"/>
    </xf>
    <xf numFmtId="164" fontId="29" fillId="3" borderId="0" applyAlignment="1" pivotButton="0" quotePrefix="0" xfId="0">
      <alignment horizontal="left" vertical="center"/>
    </xf>
    <xf numFmtId="0" fontId="18" fillId="8" borderId="66" applyAlignment="1" pivotButton="0" quotePrefix="0" xfId="3">
      <alignment horizontal="center" vertical="center" wrapText="1"/>
    </xf>
    <xf numFmtId="0" fontId="38" fillId="8" borderId="66" applyAlignment="1" pivotButton="0" quotePrefix="0" xfId="3">
      <alignment horizontal="center" vertical="center" wrapText="1"/>
    </xf>
    <xf numFmtId="0" fontId="18" fillId="8" borderId="66" applyAlignment="1" pivotButton="0" quotePrefix="0" xfId="3">
      <alignment horizontal="left" vertical="center" wrapText="1"/>
    </xf>
    <xf numFmtId="164" fontId="4" fillId="8" borderId="6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49" fontId="4" fillId="8" borderId="66" applyAlignment="1" pivotButton="0" quotePrefix="0" xfId="0">
      <alignment horizontal="center" vertical="center" wrapText="1"/>
    </xf>
    <xf numFmtId="0" fontId="18" fillId="8" borderId="65" applyAlignment="1" pivotButton="0" quotePrefix="0" xfId="0">
      <alignment horizontal="center" vertical="center" wrapText="1"/>
    </xf>
    <xf numFmtId="0" fontId="18" fillId="8" borderId="66" applyAlignment="1" pivotButton="0" quotePrefix="0" xfId="0">
      <alignment horizontal="center" vertical="center" wrapText="1"/>
    </xf>
    <xf numFmtId="0" fontId="0" fillId="0" borderId="6" pivotButton="0" quotePrefix="0" xfId="0"/>
    <xf numFmtId="164" fontId="4" fillId="8" borderId="52" applyAlignment="1" pivotButton="0" quotePrefix="0" xfId="0">
      <alignment horizontal="center" vertical="center" wrapText="1"/>
    </xf>
    <xf numFmtId="167" fontId="18" fillId="8" borderId="52" applyAlignment="1" pivotButton="0" quotePrefix="0" xfId="2">
      <alignment horizontal="center" vertical="center" wrapText="1"/>
    </xf>
    <xf numFmtId="0" fontId="0" fillId="0" borderId="71" pivotButton="0" quotePrefix="0" xfId="0"/>
    <xf numFmtId="0" fontId="15" fillId="13" borderId="65" applyAlignment="1" pivotButton="0" quotePrefix="0" xfId="0">
      <alignment horizontal="center" vertical="center"/>
    </xf>
    <xf numFmtId="0" fontId="15" fillId="13" borderId="65" applyAlignment="1" pivotButton="0" quotePrefix="0" xfId="0">
      <alignment horizontal="left" vertical="center" wrapText="1"/>
    </xf>
    <xf numFmtId="169" fontId="15" fillId="13" borderId="65" applyAlignment="1" pivotButton="0" quotePrefix="0" xfId="0">
      <alignment horizontal="center" vertical="center"/>
    </xf>
    <xf numFmtId="0" fontId="15" fillId="13" borderId="65" applyAlignment="1" pivotButton="0" quotePrefix="0" xfId="0">
      <alignment horizontal="center" vertical="center" wrapText="1"/>
    </xf>
    <xf numFmtId="49" fontId="15" fillId="13" borderId="65" applyAlignment="1" pivotButton="0" quotePrefix="0" xfId="0">
      <alignment horizontal="center" vertical="center"/>
    </xf>
    <xf numFmtId="170" fontId="39" fillId="13" borderId="7" applyAlignment="1" applyProtection="1" pivotButton="0" quotePrefix="0" xfId="1">
      <alignment horizontal="center" vertical="center"/>
      <protection locked="0" hidden="0"/>
    </xf>
    <xf numFmtId="167" fontId="39" fillId="13" borderId="7" applyAlignment="1" applyProtection="1" pivotButton="0" quotePrefix="0" xfId="1">
      <alignment horizontal="center" vertical="center"/>
      <protection locked="0" hidden="0"/>
    </xf>
    <xf numFmtId="165" fontId="0" fillId="0" borderId="0" applyAlignment="1" pivotButton="0" quotePrefix="0" xfId="0">
      <alignment vertical="center"/>
    </xf>
    <xf numFmtId="165" fontId="0" fillId="7" borderId="8" applyAlignment="1" pivotButton="0" quotePrefix="0" xfId="0">
      <alignment horizontal="center" vertical="center"/>
    </xf>
    <xf numFmtId="165" fontId="10" fillId="0" borderId="13" applyAlignment="1" applyProtection="1" pivotButton="0" quotePrefix="1" xfId="0">
      <alignment horizontal="left" vertical="center"/>
      <protection locked="0" hidden="0"/>
    </xf>
    <xf numFmtId="166" fontId="10" fillId="0" borderId="14" applyAlignment="1" applyProtection="1" pivotButton="0" quotePrefix="0" xfId="0">
      <alignment vertical="center"/>
      <protection locked="0" hidden="0"/>
    </xf>
    <xf numFmtId="166" fontId="10" fillId="0" borderId="7" applyAlignment="1" applyProtection="1" pivotButton="0" quotePrefix="0" xfId="0">
      <alignment vertical="center"/>
      <protection locked="0" hidden="0"/>
    </xf>
    <xf numFmtId="166" fontId="10" fillId="0" borderId="44" applyAlignment="1" applyProtection="1" pivotButton="0" quotePrefix="0" xfId="0">
      <alignment vertical="center"/>
      <protection locked="0" hidden="0"/>
    </xf>
    <xf numFmtId="165" fontId="10" fillId="0" borderId="54" applyAlignment="1" applyProtection="1" pivotButton="0" quotePrefix="1" xfId="0">
      <alignment horizontal="left" vertical="center"/>
      <protection locked="0" hidden="0"/>
    </xf>
    <xf numFmtId="166" fontId="10" fillId="0" borderId="55" applyAlignment="1" applyProtection="1" pivotButton="0" quotePrefix="0" xfId="0">
      <alignment vertical="center"/>
      <protection locked="0" hidden="0"/>
    </xf>
    <xf numFmtId="166" fontId="10" fillId="0" borderId="56" applyAlignment="1" applyProtection="1" pivotButton="0" quotePrefix="0" xfId="0">
      <alignment vertical="center"/>
      <protection locked="0" hidden="0"/>
    </xf>
    <xf numFmtId="166" fontId="10" fillId="0" borderId="57" applyAlignment="1" applyProtection="1" pivotButton="0" quotePrefix="0" xfId="0">
      <alignment vertical="center"/>
      <protection locked="0" hidden="0"/>
    </xf>
    <xf numFmtId="165" fontId="0" fillId="4" borderId="53" applyAlignment="1" pivotButton="0" quotePrefix="0" xfId="0">
      <alignment vertical="center"/>
    </xf>
    <xf numFmtId="165" fontId="10" fillId="0" borderId="15" applyAlignment="1" applyProtection="1" pivotButton="0" quotePrefix="1" xfId="0">
      <alignment horizontal="left" vertical="center"/>
      <protection locked="0" hidden="0"/>
    </xf>
    <xf numFmtId="166" fontId="10" fillId="0" borderId="46" applyAlignment="1" applyProtection="1" pivotButton="0" quotePrefix="0" xfId="0">
      <alignment vertical="center"/>
      <protection locked="0" hidden="0"/>
    </xf>
    <xf numFmtId="166" fontId="10" fillId="0" borderId="47" applyAlignment="1" applyProtection="1" pivotButton="0" quotePrefix="0" xfId="0">
      <alignment vertical="center"/>
      <protection locked="0" hidden="0"/>
    </xf>
    <xf numFmtId="166" fontId="10" fillId="0" borderId="16" applyAlignment="1" applyProtection="1" pivotButton="0" quotePrefix="0" xfId="0">
      <alignment vertical="center"/>
      <protection locked="0" hidden="0"/>
    </xf>
    <xf numFmtId="165" fontId="10" fillId="0" borderId="25" applyAlignment="1" applyProtection="1" pivotButton="0" quotePrefix="1" xfId="0">
      <alignment horizontal="left" vertical="center"/>
      <protection locked="0" hidden="0"/>
    </xf>
    <xf numFmtId="166" fontId="10" fillId="0" borderId="33" applyAlignment="1" applyProtection="1" pivotButton="0" quotePrefix="0" xfId="0">
      <alignment vertical="center"/>
      <protection locked="0" hidden="0"/>
    </xf>
    <xf numFmtId="166" fontId="10" fillId="0" borderId="41" applyAlignment="1" applyProtection="1" pivotButton="0" quotePrefix="0" xfId="0">
      <alignment vertical="center"/>
      <protection locked="0" hidden="0"/>
    </xf>
    <xf numFmtId="166" fontId="10" fillId="0" borderId="34" applyAlignment="1" applyProtection="1" pivotButton="0" quotePrefix="0" xfId="0">
      <alignment vertical="center"/>
      <protection locked="0" hidden="0"/>
    </xf>
    <xf numFmtId="165" fontId="10" fillId="0" borderId="17" applyAlignment="1" applyProtection="1" pivotButton="0" quotePrefix="1" xfId="0">
      <alignment horizontal="left" vertical="center"/>
      <protection locked="0" hidden="0"/>
    </xf>
    <xf numFmtId="166" fontId="10" fillId="0" borderId="18" applyAlignment="1" applyProtection="1" pivotButton="0" quotePrefix="0" xfId="0">
      <alignment vertical="center"/>
      <protection locked="0" hidden="0"/>
    </xf>
    <xf numFmtId="166" fontId="10" fillId="0" borderId="4" applyAlignment="1" applyProtection="1" pivotButton="0" quotePrefix="0" xfId="0">
      <alignment vertical="center"/>
      <protection locked="0" hidden="0"/>
    </xf>
    <xf numFmtId="166" fontId="10" fillId="0" borderId="48" applyAlignment="1" applyProtection="1" pivotButton="0" quotePrefix="0" xfId="0">
      <alignment vertical="center"/>
      <protection locked="0" hidden="0"/>
    </xf>
    <xf numFmtId="165" fontId="10" fillId="0" borderId="60" applyAlignment="1" applyProtection="1" pivotButton="0" quotePrefix="1" xfId="0">
      <alignment horizontal="left" vertical="center"/>
      <protection locked="0" hidden="0"/>
    </xf>
    <xf numFmtId="166" fontId="10" fillId="0" borderId="21" applyAlignment="1" applyProtection="1" pivotButton="0" quotePrefix="0" xfId="0">
      <alignment vertical="center"/>
      <protection locked="0" hidden="0"/>
    </xf>
    <xf numFmtId="166" fontId="10" fillId="0" borderId="43" applyAlignment="1" applyProtection="1" pivotButton="0" quotePrefix="0" xfId="0">
      <alignment vertical="center"/>
      <protection locked="0" hidden="0"/>
    </xf>
    <xf numFmtId="166" fontId="10" fillId="0" borderId="31" applyAlignment="1" applyProtection="1" pivotButton="0" quotePrefix="0" xfId="0">
      <alignment vertical="center"/>
      <protection locked="0" hidden="0"/>
    </xf>
    <xf numFmtId="0" fontId="0" fillId="0" borderId="74" pivotButton="0" quotePrefix="0" xfId="0"/>
    <xf numFmtId="0" fontId="0" fillId="0" borderId="75" pivotButton="0" quotePrefix="0" xfId="0"/>
    <xf numFmtId="165" fontId="18" fillId="0" borderId="64" applyAlignment="1" applyProtection="1" pivotButton="0" quotePrefix="0" xfId="0">
      <alignment horizontal="center" vertical="center" wrapText="1"/>
      <protection locked="0" hidden="0"/>
    </xf>
    <xf numFmtId="0" fontId="0" fillId="0" borderId="71" applyProtection="1" pivotButton="0" quotePrefix="0" xfId="0">
      <protection locked="0" hidden="0"/>
    </xf>
    <xf numFmtId="165" fontId="16" fillId="0" borderId="64" applyAlignment="1" pivotButton="0" quotePrefix="0" xfId="0">
      <alignment horizontal="center" vertical="center"/>
    </xf>
    <xf numFmtId="0" fontId="4" fillId="7" borderId="65" applyAlignment="1" pivotButton="0" quotePrefix="0" xfId="0">
      <alignment horizontal="center" vertical="center" wrapText="1"/>
    </xf>
    <xf numFmtId="49" fontId="18" fillId="4" borderId="65" applyAlignment="1" applyProtection="1" pivotButton="0" quotePrefix="0" xfId="0">
      <alignment horizontal="center" vertical="center" wrapText="1"/>
      <protection locked="0" hidden="0"/>
    </xf>
    <xf numFmtId="0" fontId="18" fillId="7" borderId="65" applyAlignment="1" applyProtection="1" pivotButton="0" quotePrefix="0" xfId="0">
      <alignment horizontal="center" vertical="center" wrapText="1"/>
      <protection locked="0" hidden="0"/>
    </xf>
    <xf numFmtId="0" fontId="0" fillId="0" borderId="78" applyProtection="1" pivotButton="0" quotePrefix="0" xfId="0">
      <protection locked="0" hidden="0"/>
    </xf>
    <xf numFmtId="0" fontId="0" fillId="0" borderId="79" applyProtection="1" pivotButton="0" quotePrefix="0" xfId="0">
      <protection locked="0" hidden="0"/>
    </xf>
    <xf numFmtId="49" fontId="18" fillId="7" borderId="65" applyAlignment="1" applyProtection="1" pivotButton="0" quotePrefix="0" xfId="0">
      <alignment horizontal="center" vertical="center" wrapText="1"/>
      <protection locked="0" hidden="0"/>
    </xf>
    <xf numFmtId="0" fontId="18" fillId="7" borderId="65" applyAlignment="1" applyProtection="1" pivotButton="0" quotePrefix="0" xfId="0">
      <alignment horizontal="center" vertical="center"/>
      <protection locked="0" hidden="0"/>
    </xf>
    <xf numFmtId="0" fontId="18" fillId="4" borderId="65" applyAlignment="1" applyProtection="1" pivotButton="0" quotePrefix="0" xfId="0">
      <alignment horizontal="center" vertical="center" wrapText="1"/>
      <protection locked="0" hidden="0"/>
    </xf>
    <xf numFmtId="165" fontId="10" fillId="0" borderId="4" applyAlignment="1" pivotButton="0" quotePrefix="0" xfId="0">
      <alignment horizontal="center" vertical="center"/>
    </xf>
    <xf numFmtId="168" fontId="10" fillId="0" borderId="4" applyAlignment="1" pivotButton="0" quotePrefix="0" xfId="0">
      <alignment horizontal="center" vertical="center"/>
    </xf>
    <xf numFmtId="0" fontId="0" fillId="0" borderId="68" pivotButton="0" quotePrefix="0" xfId="0"/>
    <xf numFmtId="165" fontId="10" fillId="0" borderId="7" applyAlignment="1" pivotButton="0" quotePrefix="0" xfId="0">
      <alignment horizontal="center" vertical="center"/>
    </xf>
    <xf numFmtId="0" fontId="0" fillId="0" borderId="4" pivotButton="0" quotePrefix="0" xfId="0"/>
    <xf numFmtId="165" fontId="10" fillId="0" borderId="19" applyAlignment="1" pivotButton="0" quotePrefix="0" xfId="0">
      <alignment horizontal="center" vertical="center"/>
    </xf>
    <xf numFmtId="168" fontId="10" fillId="0" borderId="19" applyAlignment="1" pivotButton="0" quotePrefix="0" xfId="0">
      <alignment horizontal="center" vertical="center"/>
    </xf>
    <xf numFmtId="0" fontId="25" fillId="6" borderId="84" applyAlignment="1" pivotButton="0" quotePrefix="0" xfId="0">
      <alignment horizontal="center" vertical="center" wrapText="1"/>
    </xf>
    <xf numFmtId="0" fontId="25" fillId="4" borderId="22" applyAlignment="1" applyProtection="1" pivotButton="0" quotePrefix="0" xfId="0">
      <alignment horizontal="center" vertical="center" wrapText="1"/>
      <protection locked="0" hidden="0"/>
    </xf>
    <xf numFmtId="0" fontId="0" fillId="0" borderId="83" pivotButton="0" quotePrefix="0" xfId="0"/>
    <xf numFmtId="0" fontId="0" fillId="0" borderId="31" pivotButton="0" quotePrefix="0" xfId="0"/>
    <xf numFmtId="0" fontId="0" fillId="0" borderId="48" pivotButton="0" quotePrefix="0" xfId="0"/>
    <xf numFmtId="0" fontId="0" fillId="0" borderId="18" pivotButton="0" quotePrefix="0" xfId="0"/>
    <xf numFmtId="0" fontId="0" fillId="0" borderId="81" pivotButton="0" quotePrefix="0" xfId="0"/>
    <xf numFmtId="0" fontId="0" fillId="0" borderId="18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</cellXfs>
  <cellStyles count="11">
    <cellStyle name="표준" xfId="0" builtinId="0"/>
    <cellStyle name="표준 2" xfId="1"/>
    <cellStyle name="표준_Piping&amp;Nozzle " xfId="2"/>
    <cellStyle name="표준 2 3" xfId="3"/>
    <cellStyle name="표준 2 2 2" xfId="4"/>
    <cellStyle name="표준 3" xfId="5"/>
    <cellStyle name="쉼표 [0] 2" xfId="6"/>
    <cellStyle name="표준 2 2" xfId="7"/>
    <cellStyle name=" _간지_추가품셈1_옥외탱크기초(단가)_공사비집계표(품의용)_BS-160_7_Others_r0_BS-160_7_Others_r0" xfId="8"/>
    <cellStyle name="표준 2 2 3" xfId="9"/>
    <cellStyle name="표준 2 3 3" xfId="1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E:\00,%20Facility%20E\11-2,%20CEP\01,%20Calculation%20Sheet\PEPP-00LCB10-M06-0006-R01C_CEP_R1_191031_&#50980;&#49345;&#50857;&#49440;&#51076;_&#54616;&#52293;&#44160;&#53664;_&#48152;&#50689;&#50756;&#47308;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0."/>
      <sheetName val="1."/>
      <sheetName val="2."/>
      <sheetName val="3."/>
      <sheetName val="4."/>
      <sheetName val="5."/>
      <sheetName val="5.8, 5.9 PipeSize"/>
      <sheetName val="5.9.1 SDT"/>
      <sheetName val="5.10 ΔP"/>
      <sheetName val="5.11 CV"/>
      <sheetName val="6."/>
      <sheetName val="7."/>
      <sheetName val="8."/>
      <sheetName val="A1 PID"/>
      <sheetName val="A2 Res Curve"/>
      <sheetName val="A3 Bypass"/>
      <sheetName val="A4 Data Table"/>
      <sheetName val="A5 CV Catalogue"/>
      <sheetName val="A6 HRSG DP"/>
      <sheetName val="A7 FE DP"/>
      <sheetName val="A8 Strainer DP"/>
      <sheetName val="A9 LCV ΔP"/>
      <sheetName val="A10 Ref PJT"/>
      <sheetName val="A11 HRSG Simulation"/>
      <sheetName val="A12 CPH"/>
      <sheetName val="Pipe Schedule Table"/>
      <sheetName val="Pipe Roughnes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2">
          <cell r="B12" t="str">
            <v>2)</v>
          </cell>
          <cell r="C12" t="str">
            <v>For Condensate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 t="str">
            <v>Unit</v>
          </cell>
          <cell r="P12">
            <v>0</v>
          </cell>
          <cell r="Q12" t="str">
            <v>Guarantee</v>
          </cell>
          <cell r="R12">
            <v>0</v>
          </cell>
          <cell r="S12">
            <v>0</v>
          </cell>
          <cell r="T12" t="str">
            <v>Full Bypass</v>
          </cell>
          <cell r="U12">
            <v>0</v>
          </cell>
          <cell r="V12">
            <v>0</v>
          </cell>
          <cell r="W12" t="str">
            <v>Remark</v>
          </cell>
          <cell r="X12">
            <v>0</v>
          </cell>
          <cell r="Y12">
            <v>0</v>
          </cell>
        </row>
        <row r="13">
          <cell r="B13">
            <v>0</v>
          </cell>
          <cell r="C13" t="str">
            <v>a)</v>
          </cell>
          <cell r="D13" t="str">
            <v>Number of operating pumps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EA</v>
          </cell>
          <cell r="P13">
            <v>0</v>
          </cell>
          <cell r="Q13">
            <v>1</v>
          </cell>
          <cell r="R13">
            <v>0</v>
          </cell>
          <cell r="S13">
            <v>0</v>
          </cell>
          <cell r="T13">
            <v>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>
            <v>0</v>
          </cell>
          <cell r="C14" t="str">
            <v>b)</v>
          </cell>
          <cell r="D14" t="str">
            <v>Condensate flow to HRSG condensate preheater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 t="str">
            <v>kg/s</v>
          </cell>
          <cell r="P14">
            <v>0</v>
          </cell>
          <cell r="Q14">
            <v>147.9</v>
          </cell>
          <cell r="R14">
            <v>0</v>
          </cell>
          <cell r="S14">
            <v>0</v>
          </cell>
          <cell r="T14">
            <v>147.9</v>
          </cell>
          <cell r="U14">
            <v>0</v>
          </cell>
          <cell r="V14">
            <v>0</v>
          </cell>
          <cell r="W14" t="str">
            <v>Except HP Spray water</v>
          </cell>
          <cell r="X14">
            <v>0</v>
          </cell>
          <cell r="Y14">
            <v>0</v>
          </cell>
        </row>
        <row r="15">
          <cell r="B15">
            <v>0</v>
          </cell>
          <cell r="C15" t="str">
            <v>c)</v>
          </cell>
          <cell r="D15" t="str">
            <v>Bypass Valve Spray Water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 t="str">
            <v>kg/s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72.767894779276133</v>
          </cell>
          <cell r="U15">
            <v>0</v>
          </cell>
          <cell r="V15">
            <v>0</v>
          </cell>
          <cell r="W15" t="str">
            <v>Bypass only</v>
          </cell>
          <cell r="X15">
            <v>0</v>
          </cell>
          <cell r="Y15">
            <v>0</v>
          </cell>
        </row>
        <row r="16">
          <cell r="B16">
            <v>0</v>
          </cell>
          <cell r="C16">
            <v>0</v>
          </cell>
          <cell r="D16" t="str">
            <v>to HP Bypass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 t="str">
            <v>kg/s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19.999639510007128</v>
          </cell>
          <cell r="U16">
            <v>0</v>
          </cell>
          <cell r="V16">
            <v>0</v>
          </cell>
          <cell r="W16" t="str">
            <v>Bypass only</v>
          </cell>
          <cell r="X16">
            <v>0</v>
          </cell>
          <cell r="Y16">
            <v>0</v>
          </cell>
        </row>
        <row r="17">
          <cell r="B17">
            <v>0</v>
          </cell>
          <cell r="C17">
            <v>0</v>
          </cell>
          <cell r="D17" t="str">
            <v>to HRH Bypass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 t="str">
            <v>kg/s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51.626481740203111</v>
          </cell>
          <cell r="U17">
            <v>0</v>
          </cell>
          <cell r="V17">
            <v>0</v>
          </cell>
          <cell r="W17" t="str">
            <v>Bypass only</v>
          </cell>
          <cell r="X17">
            <v>0</v>
          </cell>
          <cell r="Y17">
            <v>0</v>
          </cell>
        </row>
        <row r="18">
          <cell r="B18">
            <v>0</v>
          </cell>
          <cell r="C18">
            <v>0</v>
          </cell>
          <cell r="D18" t="str">
            <v>to LP Bypass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>kg/s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1.1417735290658875</v>
          </cell>
          <cell r="U18">
            <v>0</v>
          </cell>
          <cell r="V18">
            <v>0</v>
          </cell>
          <cell r="W18" t="str">
            <v>Bypass only</v>
          </cell>
          <cell r="X18">
            <v>0</v>
          </cell>
          <cell r="Y18">
            <v>0</v>
          </cell>
        </row>
        <row r="19">
          <cell r="B19">
            <v>0</v>
          </cell>
          <cell r="C19" t="str">
            <v>d)</v>
          </cell>
          <cell r="D19" t="str">
            <v>Aux. Consumer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 t="str">
            <v>kg/s</v>
          </cell>
          <cell r="P19">
            <v>0</v>
          </cell>
          <cell r="Q19">
            <v>0.2</v>
          </cell>
          <cell r="R19">
            <v>0</v>
          </cell>
          <cell r="S19">
            <v>0</v>
          </cell>
          <cell r="T19">
            <v>3.1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B20">
            <v>0</v>
          </cell>
          <cell r="C20">
            <v>0</v>
          </cell>
          <cell r="D20" t="str">
            <v>Seal water for CEP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 t="str">
            <v>kg/s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B21">
            <v>0</v>
          </cell>
          <cell r="C21">
            <v>0</v>
          </cell>
          <cell r="D21" t="str">
            <v>Seal water for GSC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 t="str">
            <v>kg/s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B22">
            <v>0</v>
          </cell>
          <cell r="C22">
            <v>0</v>
          </cell>
          <cell r="D22" t="str">
            <v>Seal water to water seal valves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kg/s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B23">
            <v>0</v>
          </cell>
          <cell r="C23">
            <v>0</v>
          </cell>
          <cell r="D23" t="str">
            <v>Condensate seal to vacuum breaker valve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 t="str">
            <v>kg/s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B24">
            <v>0</v>
          </cell>
          <cell r="C24">
            <v>0</v>
          </cell>
          <cell r="D24" t="str">
            <v>Makeup water for condenser vacuum pump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 t="str">
            <v>kg/s</v>
          </cell>
          <cell r="P24">
            <v>0</v>
          </cell>
          <cell r="Q24">
            <v>0.2</v>
          </cell>
          <cell r="R24">
            <v>0</v>
          </cell>
          <cell r="S24">
            <v>0</v>
          </cell>
          <cell r="T24">
            <v>0.2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B25">
            <v>0</v>
          </cell>
          <cell r="C25">
            <v>0</v>
          </cell>
          <cell r="D25" t="str">
            <v>Makeup water for waterbox priming pump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 t="str">
            <v>kg/s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B26">
            <v>0</v>
          </cell>
          <cell r="C26">
            <v>0</v>
          </cell>
          <cell r="D26" t="str">
            <v>Condensate spray water to stand pipe (flash box)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 t="str">
            <v>kg/s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B27">
            <v>0</v>
          </cell>
          <cell r="C27">
            <v>0</v>
          </cell>
          <cell r="D27" t="str">
            <v>LP turbine exhaust hood spray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 t="str">
            <v>kg/s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2.9</v>
          </cell>
          <cell r="U27">
            <v>0</v>
          </cell>
          <cell r="V27">
            <v>0</v>
          </cell>
          <cell r="W27" t="str">
            <v>Bypass only</v>
          </cell>
          <cell r="X27">
            <v>0</v>
          </cell>
          <cell r="Y27">
            <v>0</v>
          </cell>
        </row>
        <row r="28">
          <cell r="B28">
            <v>0</v>
          </cell>
          <cell r="C28">
            <v>0</v>
          </cell>
          <cell r="D28" t="str">
            <v>Condenser curtain spray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 t="str">
            <v>kg/s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B29">
            <v>0</v>
          </cell>
          <cell r="C29">
            <v>0</v>
          </cell>
          <cell r="D29" t="str">
            <v>Auxiliary Steam Attemperator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 t="str">
            <v>kg/s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B30">
            <v>0</v>
          </cell>
          <cell r="C30" t="str">
            <v>e)</v>
          </cell>
          <cell r="D30" t="str">
            <v>Sub total Condenser outlet flow to CEP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>kg/s</v>
          </cell>
          <cell r="P30">
            <v>0</v>
          </cell>
          <cell r="Q30">
            <v>148.1</v>
          </cell>
          <cell r="R30">
            <v>0</v>
          </cell>
          <cell r="S30">
            <v>0</v>
          </cell>
          <cell r="T30">
            <v>223.76789477927613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B31">
            <v>0</v>
          </cell>
          <cell r="C31">
            <v>0</v>
          </cell>
          <cell r="D31" t="str">
            <v>Each Pump Flow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 t="str">
            <v>kg/s</v>
          </cell>
          <cell r="P31">
            <v>0</v>
          </cell>
          <cell r="Q31">
            <v>148.1</v>
          </cell>
          <cell r="R31">
            <v>0</v>
          </cell>
          <cell r="S31">
            <v>0</v>
          </cell>
          <cell r="T31">
            <v>111.88394738963807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B32">
            <v>0</v>
          </cell>
          <cell r="C32">
            <v>0</v>
          </cell>
          <cell r="D32" t="str">
            <v>Pump Flow Margin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 t="str">
            <v>%</v>
          </cell>
          <cell r="P32">
            <v>0</v>
          </cell>
          <cell r="Q32">
            <v>10</v>
          </cell>
          <cell r="R32">
            <v>0</v>
          </cell>
          <cell r="S32">
            <v>0</v>
          </cell>
          <cell r="T32">
            <v>10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 t="str">
            <v>kg/s</v>
          </cell>
          <cell r="P33">
            <v>0</v>
          </cell>
          <cell r="Q33">
            <v>14.81</v>
          </cell>
          <cell r="R33">
            <v>0</v>
          </cell>
          <cell r="S33">
            <v>0</v>
          </cell>
          <cell r="T33">
            <v>11.188394738963806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B34">
            <v>0</v>
          </cell>
          <cell r="C34">
            <v>0</v>
          </cell>
          <cell r="D34" t="str">
            <v>Total Required Flow per Each Pump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 t="str">
            <v>kg/s</v>
          </cell>
          <cell r="P34">
            <v>0</v>
          </cell>
          <cell r="Q34">
            <v>162.91</v>
          </cell>
          <cell r="R34">
            <v>0</v>
          </cell>
          <cell r="S34">
            <v>0</v>
          </cell>
          <cell r="T34">
            <v>123.07234212860187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B35">
            <v>0</v>
          </cell>
          <cell r="C35">
            <v>0</v>
          </cell>
          <cell r="D35" t="str">
            <v>Density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 t="str">
            <v>kg/m3</v>
          </cell>
          <cell r="P35">
            <v>0</v>
          </cell>
          <cell r="Q35">
            <v>990.18702021725892</v>
          </cell>
          <cell r="R35">
            <v>0</v>
          </cell>
          <cell r="S35">
            <v>0</v>
          </cell>
          <cell r="T35">
            <v>990.18702021725892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 t="str">
            <v>m3/h</v>
          </cell>
          <cell r="P36">
            <v>0</v>
          </cell>
          <cell r="Q36">
            <v>592.28811126136566</v>
          </cell>
          <cell r="R36">
            <v>0</v>
          </cell>
          <cell r="S36">
            <v>0</v>
          </cell>
          <cell r="T36">
            <v>447.4512618492555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B37" t="str">
            <v xml:space="preserve">3) </v>
          </cell>
          <cell r="C37" t="str">
            <v>Selected Flowrate per Each Pump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 t="str">
            <v>m3/h</v>
          </cell>
          <cell r="P37">
            <v>0</v>
          </cell>
          <cell r="Q37">
            <v>592.28811126136566</v>
          </cell>
          <cell r="R37">
            <v>0</v>
          </cell>
          <cell r="S37">
            <v>0</v>
          </cell>
          <cell r="T37">
            <v>447.4512618492555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B39" t="str">
            <v xml:space="preserve">4) </v>
          </cell>
          <cell r="C39" t="str">
            <v>Total Flowrate in the Pipe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 t="str">
            <v>m3/h</v>
          </cell>
          <cell r="P39">
            <v>0</v>
          </cell>
          <cell r="Q39">
            <v>592.28811126136566</v>
          </cell>
          <cell r="R39">
            <v>0</v>
          </cell>
          <cell r="S39">
            <v>0</v>
          </cell>
          <cell r="T39">
            <v>894.902523698511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2">
          <cell r="B42" t="str">
            <v>Description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 t="str">
            <v>Unit</v>
          </cell>
          <cell r="P42">
            <v>0</v>
          </cell>
          <cell r="Q42" t="str">
            <v>Guarantee</v>
          </cell>
          <cell r="R42">
            <v>0</v>
          </cell>
          <cell r="S42">
            <v>0</v>
          </cell>
          <cell r="T42" t="str">
            <v>Full Bypass</v>
          </cell>
          <cell r="U42">
            <v>0</v>
          </cell>
          <cell r="V42">
            <v>0</v>
          </cell>
          <cell r="W42" t="str">
            <v>Remark</v>
          </cell>
          <cell r="X42">
            <v>0</v>
          </cell>
          <cell r="Y42">
            <v>0</v>
          </cell>
        </row>
        <row r="43">
          <cell r="B43" t="str">
            <v>PC</v>
          </cell>
          <cell r="C43" t="str">
            <v>Condenser Pressure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 t="str">
            <v>bara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 t="str">
            <v>S1</v>
          </cell>
          <cell r="C44" t="str">
            <v>Static head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 t="str">
            <v>bar</v>
          </cell>
          <cell r="P44">
            <v>0</v>
          </cell>
          <cell r="Q44">
            <v>0.15536671311890907</v>
          </cell>
          <cell r="R44">
            <v>0</v>
          </cell>
          <cell r="S44">
            <v>0</v>
          </cell>
          <cell r="T44">
            <v>0.15536671311890907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B45">
            <v>0</v>
          </cell>
          <cell r="C45">
            <v>0</v>
          </cell>
          <cell r="D45" t="str">
            <v>Condenser Low-Low Water Level (LLWL)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 t="str">
            <v>m</v>
          </cell>
          <cell r="P45">
            <v>0</v>
          </cell>
          <cell r="Q45">
            <v>0.1</v>
          </cell>
          <cell r="R45">
            <v>0</v>
          </cell>
          <cell r="S45">
            <v>0</v>
          </cell>
          <cell r="T45">
            <v>0.1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B46">
            <v>0</v>
          </cell>
          <cell r="C46">
            <v>0</v>
          </cell>
          <cell r="D46" t="str">
            <v>Pump Inlet nozzle center level from Pump floor elevation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 t="str">
            <v>m</v>
          </cell>
          <cell r="P46">
            <v>0</v>
          </cell>
          <cell r="Q46">
            <v>-1.5000000000000002</v>
          </cell>
          <cell r="R46">
            <v>0</v>
          </cell>
          <cell r="S46">
            <v>0</v>
          </cell>
          <cell r="T46">
            <v>-1.5000000000000002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B47">
            <v>0</v>
          </cell>
          <cell r="C47" t="str">
            <v>Pressure Loss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 t="str">
            <v>bar</v>
          </cell>
          <cell r="P47">
            <v>0</v>
          </cell>
          <cell r="Q47">
            <v>2.2466519166916714E-2</v>
          </cell>
          <cell r="R47">
            <v>0</v>
          </cell>
          <cell r="S47">
            <v>0</v>
          </cell>
          <cell r="T47">
            <v>2.5606105931242081E-2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B48" t="str">
            <v>S2</v>
          </cell>
          <cell r="C48">
            <v>0</v>
          </cell>
          <cell r="D48" t="str">
            <v>ΔP: Piping and Fittings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 t="str">
            <v>bar</v>
          </cell>
          <cell r="P48">
            <v>0</v>
          </cell>
          <cell r="Q48">
            <v>7.4665191669167127E-3</v>
          </cell>
          <cell r="R48">
            <v>0</v>
          </cell>
          <cell r="S48">
            <v>0</v>
          </cell>
          <cell r="T48">
            <v>1.7045259574791433E-2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B49" t="str">
            <v>S3</v>
          </cell>
          <cell r="C49">
            <v>0</v>
          </cell>
          <cell r="D49" t="str">
            <v>ΔP: CEP Suction Strainer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 t="str">
            <v>bar</v>
          </cell>
          <cell r="P49">
            <v>0</v>
          </cell>
          <cell r="Q49">
            <v>1.4999999999999999E-2</v>
          </cell>
          <cell r="R49">
            <v>0</v>
          </cell>
          <cell r="S49">
            <v>0</v>
          </cell>
          <cell r="T49">
            <v>8.5608463564506489E-3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B50" t="str">
            <v>SP</v>
          </cell>
          <cell r="C50" t="str">
            <v>Suction Pressure (PC+S1-S2-S3)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 t="str">
            <v>bara</v>
          </cell>
          <cell r="P50">
            <v>0</v>
          </cell>
          <cell r="Q50">
            <v>0.13290019395199235</v>
          </cell>
          <cell r="R50">
            <v>0</v>
          </cell>
          <cell r="S50">
            <v>0</v>
          </cell>
          <cell r="T50">
            <v>0.12976060718766699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4">
          <cell r="B54" t="str">
            <v>Description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 t="str">
            <v>Unit</v>
          </cell>
          <cell r="P54">
            <v>0</v>
          </cell>
          <cell r="Q54" t="str">
            <v>Guarantee</v>
          </cell>
          <cell r="R54">
            <v>0</v>
          </cell>
          <cell r="S54">
            <v>0</v>
          </cell>
          <cell r="T54" t="str">
            <v>Full Bypass</v>
          </cell>
          <cell r="U54">
            <v>0</v>
          </cell>
          <cell r="V54">
            <v>0</v>
          </cell>
          <cell r="W54" t="str">
            <v>Remark</v>
          </cell>
          <cell r="X54">
            <v>0</v>
          </cell>
          <cell r="Y54">
            <v>0</v>
          </cell>
        </row>
        <row r="55">
          <cell r="B55" t="str">
            <v>PD</v>
          </cell>
          <cell r="C55" t="str">
            <v>HRSG LP Drum Operating Pressure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 t="str">
            <v>bara</v>
          </cell>
          <cell r="P55">
            <v>0</v>
          </cell>
          <cell r="Q55">
            <v>8</v>
          </cell>
          <cell r="R55">
            <v>0</v>
          </cell>
          <cell r="S55">
            <v>0</v>
          </cell>
          <cell r="T55">
            <v>8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B56" t="str">
            <v>D1</v>
          </cell>
          <cell r="C56" t="str">
            <v>Static head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 t="str">
            <v>bar</v>
          </cell>
          <cell r="P56">
            <v>0</v>
          </cell>
          <cell r="Q56">
            <v>3.1743361574107096</v>
          </cell>
          <cell r="R56">
            <v>0</v>
          </cell>
          <cell r="S56">
            <v>0</v>
          </cell>
          <cell r="T56">
            <v>3.1743361574107096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B57">
            <v>0</v>
          </cell>
          <cell r="C57">
            <v>0</v>
          </cell>
          <cell r="D57" t="str">
            <v>LP Drum Centerline Elevation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>m</v>
          </cell>
          <cell r="P57">
            <v>0</v>
          </cell>
          <cell r="Q57">
            <v>33.39</v>
          </cell>
          <cell r="R57">
            <v>0</v>
          </cell>
          <cell r="S57">
            <v>0</v>
          </cell>
          <cell r="T57">
            <v>33.39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B58">
            <v>0</v>
          </cell>
          <cell r="C58">
            <v>0</v>
          </cell>
          <cell r="D58" t="str">
            <v>Pump Dischange Centerline Elevation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 t="str">
            <v>m</v>
          </cell>
          <cell r="P58">
            <v>0</v>
          </cell>
          <cell r="Q58">
            <v>0.7</v>
          </cell>
          <cell r="R58">
            <v>0</v>
          </cell>
          <cell r="S58">
            <v>0</v>
          </cell>
          <cell r="T58">
            <v>0.7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B59">
            <v>0</v>
          </cell>
          <cell r="C59" t="str">
            <v>Pressure Loss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 t="str">
            <v>bar</v>
          </cell>
          <cell r="P59">
            <v>0</v>
          </cell>
          <cell r="Q59">
            <v>11.379406668731388</v>
          </cell>
          <cell r="R59">
            <v>0</v>
          </cell>
          <cell r="S59">
            <v>0</v>
          </cell>
          <cell r="T59">
            <v>13.065009748594752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B60" t="str">
            <v>D2</v>
          </cell>
          <cell r="C60">
            <v>0</v>
          </cell>
          <cell r="D60" t="str">
            <v>ΔP across Piping and Fittings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 t="str">
            <v>bar</v>
          </cell>
          <cell r="P60">
            <v>0</v>
          </cell>
          <cell r="Q60">
            <v>0.93940666873138756</v>
          </cell>
          <cell r="R60">
            <v>0</v>
          </cell>
          <cell r="S60">
            <v>0</v>
          </cell>
          <cell r="T60">
            <v>1.3180369620208356</v>
          </cell>
          <cell r="U60">
            <v>0</v>
          </cell>
          <cell r="V60">
            <v>0</v>
          </cell>
          <cell r="W60">
            <v>1.2523736212745671</v>
          </cell>
          <cell r="X60">
            <v>0</v>
          </cell>
          <cell r="Y60">
            <v>0</v>
          </cell>
        </row>
        <row r="61">
          <cell r="B61" t="str">
            <v>D3</v>
          </cell>
          <cell r="C61">
            <v>0</v>
          </cell>
          <cell r="D61" t="str">
            <v>ΔP: Flow element (Orifice)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 t="str">
            <v>bar</v>
          </cell>
          <cell r="P61">
            <v>0</v>
          </cell>
          <cell r="Q61">
            <v>0.4</v>
          </cell>
          <cell r="R61">
            <v>0</v>
          </cell>
          <cell r="S61">
            <v>0</v>
          </cell>
          <cell r="T61">
            <v>0.91315694468806941</v>
          </cell>
          <cell r="U61">
            <v>0</v>
          </cell>
          <cell r="V61">
            <v>0</v>
          </cell>
          <cell r="W61" t="str"/>
          <cell r="X61">
            <v>0</v>
          </cell>
          <cell r="Y61">
            <v>0</v>
          </cell>
        </row>
        <row r="62">
          <cell r="B62" t="str">
            <v>D4</v>
          </cell>
          <cell r="C62">
            <v>0</v>
          </cell>
          <cell r="D62" t="str">
            <v>ΔP: SJAE (Steam Jet Air Ejector) Condenser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 t="str">
            <v>bar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 t="str">
            <v>N/A</v>
          </cell>
          <cell r="X62">
            <v>0</v>
          </cell>
          <cell r="Y62">
            <v>0</v>
          </cell>
        </row>
        <row r="63">
          <cell r="B63" t="str">
            <v>D5</v>
          </cell>
          <cell r="C63">
            <v>0</v>
          </cell>
          <cell r="D63" t="str">
            <v>ΔP: GSC (Gland Steam Condenser)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 t="str">
            <v>bar</v>
          </cell>
          <cell r="P63">
            <v>0</v>
          </cell>
          <cell r="Q63">
            <v>0.24</v>
          </cell>
          <cell r="R63">
            <v>0</v>
          </cell>
          <cell r="S63">
            <v>0</v>
          </cell>
          <cell r="T63">
            <v>0.54789416681284153</v>
          </cell>
          <cell r="U63">
            <v>0</v>
          </cell>
          <cell r="V63">
            <v>0</v>
          </cell>
          <cell r="W63" t="str"/>
          <cell r="X63">
            <v>0</v>
          </cell>
          <cell r="Y63">
            <v>0</v>
          </cell>
        </row>
        <row r="64">
          <cell r="B64" t="str">
            <v>D6</v>
          </cell>
          <cell r="C64">
            <v>0</v>
          </cell>
          <cell r="D64" t="str">
            <v>ΔP: Condensate Polisher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 t="str">
            <v>bar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 t="str">
            <v>N/A</v>
          </cell>
          <cell r="X64">
            <v>0</v>
          </cell>
          <cell r="Y64">
            <v>0</v>
          </cell>
        </row>
        <row r="65">
          <cell r="B65" t="str">
            <v>D7</v>
          </cell>
          <cell r="C65">
            <v>0</v>
          </cell>
          <cell r="D65" t="str">
            <v>ΔP: HRSG CPH (Condensate Preheater)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 t="str">
            <v>bar</v>
          </cell>
          <cell r="P65">
            <v>0</v>
          </cell>
          <cell r="Q65">
            <v>4</v>
          </cell>
          <cell r="R65">
            <v>0</v>
          </cell>
          <cell r="S65">
            <v>0</v>
          </cell>
          <cell r="T65">
            <v>5.154934729227505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B66" t="str">
            <v>D8</v>
          </cell>
          <cell r="C66">
            <v>0</v>
          </cell>
          <cell r="D66" t="str">
            <v>ΔP: HRSG LP Economizer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 t="str">
            <v>bar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 t="str">
            <v>N/A</v>
          </cell>
          <cell r="X66">
            <v>0</v>
          </cell>
          <cell r="Y66">
            <v>0</v>
          </cell>
        </row>
        <row r="67">
          <cell r="B67" t="str">
            <v>D9</v>
          </cell>
          <cell r="C67">
            <v>0</v>
          </cell>
          <cell r="D67" t="str">
            <v>ΔP: HRSG LP Feedwater Flow Element (Venturi)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bar</v>
          </cell>
          <cell r="P67">
            <v>0</v>
          </cell>
          <cell r="Q67">
            <v>0.4</v>
          </cell>
          <cell r="R67">
            <v>0</v>
          </cell>
          <cell r="S67">
            <v>0</v>
          </cell>
          <cell r="T67">
            <v>0.5154934729227505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B68" t="str">
            <v>D10</v>
          </cell>
          <cell r="C68">
            <v>0</v>
          </cell>
          <cell r="D68" t="str">
            <v>ΔP: HRSG LP Level Control Valve (LCV) note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bar</v>
          </cell>
          <cell r="P68">
            <v>0</v>
          </cell>
          <cell r="Q68">
            <v>5</v>
          </cell>
          <cell r="R68">
            <v>0</v>
          </cell>
          <cell r="S68">
            <v>0</v>
          </cell>
          <cell r="T68">
            <v>4.0999999999999996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B69" t="str">
            <v>D11</v>
          </cell>
          <cell r="C69">
            <v>0</v>
          </cell>
          <cell r="D69" t="str">
            <v>ΔP: HRSG LP Drum Upstream Piping &amp; Valves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bar</v>
          </cell>
          <cell r="P69">
            <v>0</v>
          </cell>
          <cell r="Q69">
            <v>0.4</v>
          </cell>
          <cell r="R69">
            <v>0</v>
          </cell>
          <cell r="S69">
            <v>0</v>
          </cell>
          <cell r="T69">
            <v>0.5154934729227505</v>
          </cell>
          <cell r="U69">
            <v>0</v>
          </cell>
          <cell r="V69">
            <v>0</v>
          </cell>
          <cell r="W69" t="str"/>
          <cell r="X69">
            <v>0</v>
          </cell>
          <cell r="Y69">
            <v>0</v>
          </cell>
        </row>
        <row r="70">
          <cell r="B70" t="str">
            <v>DP</v>
          </cell>
          <cell r="C70" t="str">
            <v>Discharge Pressure (PD+D1+(D2+…+D11))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 t="str">
            <v>bara</v>
          </cell>
          <cell r="P70">
            <v>0</v>
          </cell>
          <cell r="Q70">
            <v>22.553742826142098</v>
          </cell>
          <cell r="R70">
            <v>0</v>
          </cell>
          <cell r="S70">
            <v>0</v>
          </cell>
          <cell r="T70">
            <v>24.239345906005461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3">
          <cell r="B73" t="str">
            <v>Description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 t="str">
            <v>Unit</v>
          </cell>
          <cell r="P73">
            <v>0</v>
          </cell>
          <cell r="Q73" t="str">
            <v>Guarantee</v>
          </cell>
          <cell r="R73">
            <v>0</v>
          </cell>
          <cell r="S73">
            <v>0</v>
          </cell>
          <cell r="T73" t="str">
            <v>Full Bypass</v>
          </cell>
          <cell r="U73">
            <v>0</v>
          </cell>
          <cell r="V73">
            <v>0</v>
          </cell>
          <cell r="W73" t="str">
            <v>Remark</v>
          </cell>
          <cell r="X73">
            <v>0</v>
          </cell>
          <cell r="Y73">
            <v>0</v>
          </cell>
        </row>
        <row r="74">
          <cell r="B74" t="str">
            <v>SH</v>
          </cell>
          <cell r="C74" t="str">
            <v xml:space="preserve">Suction Head 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 t="str">
            <v>m</v>
          </cell>
          <cell r="P74">
            <v>0</v>
          </cell>
          <cell r="Q74">
            <v>1.3686349286442374</v>
          </cell>
          <cell r="R74">
            <v>0</v>
          </cell>
          <cell r="S74">
            <v>0</v>
          </cell>
          <cell r="T74">
            <v>1.3363027854066059</v>
          </cell>
          <cell r="U74">
            <v>0</v>
          </cell>
          <cell r="V74">
            <v>0</v>
          </cell>
          <cell r="W74" t="str">
            <v>SP*10/SG</v>
          </cell>
          <cell r="X74">
            <v>0</v>
          </cell>
          <cell r="Y74">
            <v>0</v>
          </cell>
        </row>
        <row r="75">
          <cell r="B75" t="str">
            <v>DH</v>
          </cell>
          <cell r="C75" t="str">
            <v>Discharge Head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>m</v>
          </cell>
          <cell r="P75">
            <v>0</v>
          </cell>
          <cell r="Q75">
            <v>232.26331945510847</v>
          </cell>
          <cell r="R75">
            <v>0</v>
          </cell>
          <cell r="S75">
            <v>0</v>
          </cell>
          <cell r="T75">
            <v>249.62202437742522</v>
          </cell>
          <cell r="U75">
            <v>0</v>
          </cell>
          <cell r="V75">
            <v>0</v>
          </cell>
          <cell r="W75" t="str">
            <v>DP*10/SG</v>
          </cell>
          <cell r="X75">
            <v>0</v>
          </cell>
          <cell r="Y75">
            <v>0</v>
          </cell>
        </row>
        <row r="76">
          <cell r="B76">
            <v>0</v>
          </cell>
          <cell r="C76" t="str">
            <v>Calculated TDH (DH-SH)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>m</v>
          </cell>
          <cell r="P76">
            <v>0</v>
          </cell>
          <cell r="Q76">
            <v>230.89468452646423</v>
          </cell>
          <cell r="R76">
            <v>0</v>
          </cell>
          <cell r="S76">
            <v>0</v>
          </cell>
          <cell r="T76">
            <v>248.2857215920186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</row>
        <row r="77">
          <cell r="B77">
            <v>0</v>
          </cell>
          <cell r="C77" t="str">
            <v>Selected TDH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231</v>
          </cell>
          <cell r="R77">
            <v>0</v>
          </cell>
          <cell r="S77">
            <v>0</v>
          </cell>
          <cell r="T77">
            <v>249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tabColor rgb="FFFFFF00"/>
    <outlinePr summaryBelow="1" summaryRight="1"/>
    <pageSetUpPr/>
  </sheetPr>
  <dimension ref="A1:AM96"/>
  <sheetViews>
    <sheetView tabSelected="1" zoomScale="55" zoomScaleNormal="55" workbookViewId="0">
      <pane ySplit="7" topLeftCell="A8" activePane="bottomLeft" state="frozen"/>
      <selection pane="bottomLeft" activeCell="Z14" sqref="Z14"/>
    </sheetView>
  </sheetViews>
  <sheetFormatPr baseColWidth="8" defaultRowHeight="16.5"/>
  <cols>
    <col width="7.625" customWidth="1" style="247" min="1" max="1"/>
    <col width="21.625" customWidth="1" style="247" min="2" max="2"/>
    <col width="12.75" customWidth="1" style="247" min="3" max="3"/>
    <col width="7.75" customWidth="1" style="247" min="4" max="4"/>
    <col width="16.5" customWidth="1" style="1" min="5" max="5"/>
    <col width="7.625" customWidth="1" style="247" min="6" max="10"/>
    <col width="8.25" customWidth="1" style="247" min="11" max="11"/>
    <col width="43.25" customWidth="1" style="4" min="12" max="12"/>
    <col width="9.75" customWidth="1" style="247" min="13" max="13"/>
    <col width="9" customWidth="1" style="247" min="14" max="15"/>
    <col width="10.625" customWidth="1" style="247" min="16" max="16"/>
    <col width="9" customWidth="1" style="247" min="17" max="18"/>
    <col width="12.875" bestFit="1" customWidth="1" style="247" min="19" max="19"/>
    <col width="9" customWidth="1" style="247" min="20" max="21"/>
    <col width="8.375" customWidth="1" style="247" min="22" max="22"/>
    <col width="12" customWidth="1" style="247" min="23" max="23"/>
    <col width="12.375" customWidth="1" style="247" min="24" max="24"/>
    <col width="12" customWidth="1" style="247" min="25" max="25"/>
    <col width="17.25" customWidth="1" style="247" min="26" max="26"/>
    <col width="12" customWidth="1" style="247" min="27" max="27"/>
    <col width="22" customWidth="1" style="247" min="28" max="28"/>
    <col width="28.875" customWidth="1" style="247" min="29" max="29"/>
    <col width="33.375" bestFit="1" customWidth="1" style="247" min="30" max="30"/>
    <col width="32.5" bestFit="1" customWidth="1" style="247" min="31" max="31"/>
    <col width="10.875" customWidth="1" style="247" min="32" max="32"/>
    <col width="28.875" customWidth="1" style="247" min="33" max="33"/>
    <col width="15.625" customWidth="1" style="247" min="34" max="34"/>
    <col width="11" customWidth="1" style="247" min="35" max="35"/>
    <col width="12.25" customWidth="1" style="247" min="38" max="38"/>
    <col width="27.125" customWidth="1" style="247" min="39" max="39"/>
  </cols>
  <sheetData>
    <row r="1" ht="26.25" customHeight="1" s="247">
      <c r="A1" s="5" t="inlineStr">
        <is>
          <t>VALVE LIST</t>
        </is>
      </c>
      <c r="B1" s="175" t="n"/>
      <c r="C1" s="175" t="n"/>
      <c r="D1" s="175" t="n"/>
      <c r="E1" s="176" t="n"/>
      <c r="F1" s="175" t="n"/>
      <c r="G1" s="175" t="n"/>
      <c r="H1" s="175" t="n"/>
      <c r="I1" s="175" t="n"/>
      <c r="J1" s="175" t="n"/>
      <c r="K1" s="175" t="n"/>
      <c r="L1" s="177" t="n"/>
      <c r="M1" s="175" t="n"/>
      <c r="N1" s="175" t="n"/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  <c r="AC1" s="175" t="n"/>
      <c r="AD1" s="175" t="n"/>
      <c r="AE1" s="175" t="n"/>
      <c r="AF1" s="175" t="n"/>
      <c r="AG1" s="175" t="n"/>
      <c r="AH1" s="175" t="n"/>
      <c r="AI1" s="175" t="n"/>
      <c r="AJ1" s="175" t="n"/>
      <c r="AK1" s="175" t="n"/>
      <c r="AL1" s="175" t="n"/>
      <c r="AM1" s="175" t="n"/>
    </row>
    <row r="2">
      <c r="A2" s="9" t="inlineStr">
        <is>
          <t>Project : AL NOUF 1 PROJECT</t>
        </is>
      </c>
      <c r="B2" s="175" t="n"/>
      <c r="C2" s="175" t="n"/>
      <c r="D2" s="175" t="n"/>
      <c r="E2" s="176" t="n"/>
      <c r="F2" s="175" t="n"/>
      <c r="G2" s="175" t="n"/>
      <c r="H2" s="175" t="n"/>
      <c r="I2" s="175" t="n"/>
      <c r="J2" s="175" t="n"/>
      <c r="K2" s="175" t="n"/>
      <c r="L2" s="177" t="n"/>
      <c r="M2" s="175" t="n"/>
      <c r="N2" s="175" t="n"/>
      <c r="O2" s="175" t="n"/>
      <c r="P2" s="175" t="n"/>
      <c r="Q2" s="175" t="n"/>
      <c r="R2" s="175" t="n"/>
      <c r="S2" s="175" t="n"/>
      <c r="T2" s="175" t="n"/>
      <c r="U2" s="175" t="n"/>
      <c r="V2" s="175" t="n"/>
      <c r="W2" s="175" t="n"/>
      <c r="X2" s="175" t="n"/>
      <c r="Y2" s="175" t="n"/>
      <c r="Z2" s="175" t="n"/>
      <c r="AA2" s="175" t="n"/>
      <c r="AB2" s="175" t="n"/>
      <c r="AC2" s="175" t="n"/>
      <c r="AD2" s="175" t="n"/>
      <c r="AE2" s="175" t="n"/>
      <c r="AF2" s="175" t="n"/>
      <c r="AG2" s="175" t="n"/>
      <c r="AH2" s="175" t="n"/>
      <c r="AI2" s="175" t="n"/>
      <c r="AJ2" s="175" t="n"/>
      <c r="AK2" s="175" t="n"/>
      <c r="AL2" s="175" t="n"/>
      <c r="AM2" s="175" t="n"/>
    </row>
    <row r="3">
      <c r="A3" s="9" t="inlineStr">
        <is>
          <t>RFQ NO. : D00P-00CZH00-J30-0001</t>
        </is>
      </c>
      <c r="B3" s="175" t="n"/>
      <c r="C3" s="175" t="n"/>
      <c r="D3" s="175" t="n"/>
      <c r="E3" s="176" t="n"/>
      <c r="F3" s="175" t="n"/>
      <c r="G3" s="175" t="n"/>
      <c r="H3" s="175" t="n"/>
      <c r="I3" s="175" t="n"/>
      <c r="J3" s="175" t="n"/>
      <c r="K3" s="175" t="n"/>
      <c r="L3" s="177" t="n"/>
      <c r="M3" s="175" t="n"/>
      <c r="N3" s="175" t="n"/>
      <c r="O3" s="175" t="n"/>
      <c r="P3" s="175" t="n"/>
      <c r="Q3" s="175" t="n"/>
      <c r="R3" s="175" t="n"/>
      <c r="S3" s="175" t="n"/>
      <c r="T3" s="175" t="n"/>
      <c r="U3" s="175" t="n"/>
      <c r="V3" s="175" t="n"/>
      <c r="W3" s="175" t="n"/>
      <c r="X3" s="175" t="n"/>
      <c r="Y3" s="175" t="n"/>
      <c r="Z3" s="175" t="n"/>
      <c r="AA3" s="175" t="n"/>
      <c r="AB3" s="175" t="n"/>
      <c r="AC3" s="175" t="n"/>
      <c r="AD3" s="175" t="n"/>
      <c r="AE3" s="175" t="n"/>
      <c r="AF3" s="175" t="n"/>
      <c r="AG3" s="175" t="n"/>
      <c r="AH3" s="175" t="n"/>
      <c r="AI3" s="175" t="n"/>
      <c r="AJ3" s="175" t="n"/>
      <c r="AK3" s="175" t="n"/>
      <c r="AL3" s="175" t="n"/>
      <c r="AM3" s="175" t="n"/>
    </row>
    <row r="4" ht="35.1" customHeight="1" s="247">
      <c r="A4" s="77" t="inlineStr">
        <is>
          <t>DESCRIPTION : MOV (GATE &amp; GLOBE)</t>
        </is>
      </c>
      <c r="B4" s="175" t="n"/>
      <c r="C4" s="175" t="n"/>
      <c r="D4" s="175" t="n"/>
      <c r="E4" s="176" t="n"/>
      <c r="F4" s="175" t="n"/>
      <c r="G4" s="175" t="n"/>
      <c r="H4" s="175" t="n"/>
      <c r="I4" s="175" t="n"/>
      <c r="J4" s="175" t="n"/>
      <c r="K4" s="175" t="n"/>
      <c r="L4" s="177" t="n"/>
      <c r="M4" s="175" t="n"/>
      <c r="N4" s="175" t="n"/>
      <c r="O4" s="175" t="n"/>
      <c r="P4" s="175" t="n"/>
      <c r="Q4" s="175" t="n"/>
      <c r="R4" s="175" t="n"/>
      <c r="S4" s="175" t="n"/>
      <c r="T4" s="175" t="n"/>
      <c r="U4" s="175" t="n"/>
      <c r="V4" s="175" t="n"/>
      <c r="W4" s="175" t="n"/>
      <c r="X4" s="175" t="n"/>
      <c r="Y4" s="175" t="n"/>
      <c r="Z4" s="175" t="n"/>
      <c r="AA4" s="175" t="n"/>
      <c r="AB4" s="175" t="n"/>
      <c r="AC4" s="175" t="n"/>
      <c r="AD4" s="175" t="n"/>
      <c r="AE4" s="175" t="n"/>
      <c r="AF4" s="175" t="n"/>
      <c r="AG4" s="175" t="n"/>
      <c r="AH4" s="175" t="n"/>
      <c r="AI4" s="175" t="n"/>
      <c r="AJ4" s="175" t="n"/>
      <c r="AK4" s="175" t="n"/>
      <c r="AL4" s="175" t="n"/>
      <c r="AM4" s="175" t="n"/>
    </row>
    <row r="5" ht="35.1" customHeight="1" s="247">
      <c r="A5" s="13" t="n"/>
      <c r="B5" s="13" t="n"/>
      <c r="C5" s="8" t="n"/>
      <c r="D5" s="8" t="n"/>
      <c r="E5" s="173" t="n"/>
      <c r="F5" s="6" t="n"/>
      <c r="G5" s="6" t="n"/>
      <c r="H5" s="6" t="n"/>
      <c r="I5" s="6" t="n"/>
      <c r="J5" s="6" t="n"/>
      <c r="K5" s="248" t="n"/>
      <c r="L5" s="248" t="n"/>
      <c r="M5" s="249" t="n"/>
      <c r="N5" s="248" t="n"/>
      <c r="O5" s="248" t="n"/>
      <c r="P5" s="248" t="n"/>
      <c r="Q5" s="248" t="n"/>
      <c r="R5" s="248" t="n"/>
      <c r="S5" s="248" t="n"/>
      <c r="T5" s="248" t="n"/>
      <c r="U5" s="248" t="n"/>
      <c r="V5" s="248" t="n"/>
      <c r="W5" s="248" t="n"/>
      <c r="X5" s="248" t="n"/>
      <c r="Y5" s="6" t="n"/>
      <c r="Z5" s="6" t="n"/>
      <c r="AA5" s="249" t="n"/>
      <c r="AB5" s="175" t="n"/>
      <c r="AC5" s="175" t="n"/>
      <c r="AD5" s="175" t="n"/>
      <c r="AE5" s="175" t="n"/>
      <c r="AF5" s="175" t="n"/>
      <c r="AG5" s="175" t="n"/>
      <c r="AH5" s="175" t="n"/>
      <c r="AI5" s="175" t="n"/>
      <c r="AJ5" s="175" t="n"/>
      <c r="AK5" s="175" t="n"/>
      <c r="AL5" s="175" t="n"/>
      <c r="AM5" s="175" t="n"/>
    </row>
    <row r="6" ht="33.75" customHeight="1" s="247">
      <c r="A6" s="250" t="inlineStr">
        <is>
          <t>NO</t>
        </is>
      </c>
      <c r="B6" s="250" t="inlineStr">
        <is>
          <t>P&amp;ID NO.</t>
        </is>
      </c>
      <c r="C6" s="250" t="inlineStr">
        <is>
          <t>VALVE TYPE</t>
        </is>
      </c>
      <c r="D6" s="250" t="inlineStr">
        <is>
          <t>Q'ty</t>
        </is>
      </c>
      <c r="E6" s="250" t="inlineStr">
        <is>
          <t>SYSTEM</t>
        </is>
      </c>
      <c r="F6" s="250" t="inlineStr">
        <is>
          <t>UNIT NO.</t>
        </is>
      </c>
      <c r="G6" s="250" t="inlineStr">
        <is>
          <t>SYSTEM
CODE</t>
        </is>
      </c>
      <c r="H6" s="251" t="inlineStr">
        <is>
          <t>SYSTEM
SEQUENCE NO.</t>
        </is>
      </c>
      <c r="I6" s="250" t="inlineStr">
        <is>
          <t>ITEM CODE</t>
        </is>
      </c>
      <c r="J6" s="251" t="inlineStr">
        <is>
          <t>FIRST SEQUENCE NO.</t>
        </is>
      </c>
      <c r="K6" s="250" t="inlineStr">
        <is>
          <t>TAG NUMBER</t>
        </is>
      </c>
      <c r="L6" s="252" t="inlineStr">
        <is>
          <t>DESCRIPTION</t>
        </is>
      </c>
      <c r="M6" s="250" t="inlineStr">
        <is>
          <t>SDT NO.
(Design Table No.)</t>
        </is>
      </c>
      <c r="N6" s="253" t="inlineStr">
        <is>
          <t>DESIGN CONDITION</t>
        </is>
      </c>
      <c r="O6" s="254" t="n"/>
      <c r="P6" s="250" t="inlineStr">
        <is>
          <t>FLUID</t>
        </is>
      </c>
      <c r="Q6" s="253" t="inlineStr">
        <is>
          <t>PIPE</t>
        </is>
      </c>
      <c r="R6" s="255" t="n"/>
      <c r="S6" s="255" t="n"/>
      <c r="T6" s="255" t="n"/>
      <c r="U6" s="254" t="n"/>
      <c r="V6" s="256" t="inlineStr">
        <is>
          <t>BODY
SIZE</t>
        </is>
      </c>
      <c r="W6" s="256" t="inlineStr">
        <is>
          <t>VALVE RATING [#]</t>
        </is>
      </c>
      <c r="X6" s="256" t="inlineStr">
        <is>
          <t>CONNECTION TYPE</t>
        </is>
      </c>
      <c r="Y6" s="256" t="inlineStr">
        <is>
          <t>TYPE</t>
        </is>
      </c>
      <c r="Z6" s="255" t="n"/>
      <c r="AA6" s="255" t="n"/>
      <c r="AB6" s="255" t="n"/>
      <c r="AC6" s="254" t="n"/>
      <c r="AD6" s="256" t="inlineStr">
        <is>
          <t>MATERIAL</t>
        </is>
      </c>
      <c r="AE6" s="254" t="n"/>
      <c r="AF6" s="256" t="inlineStr">
        <is>
          <t>FAIL
POSITION</t>
        </is>
      </c>
      <c r="AG6" s="256" t="inlineStr">
        <is>
          <t>ACTUATOR TRAVEL TIME
[SEC]</t>
        </is>
      </c>
      <c r="AH6" s="256" t="inlineStr">
        <is>
          <t>LEAKAGE CLASS</t>
        </is>
      </c>
      <c r="AI6" s="257" t="inlineStr">
        <is>
          <t>SET PRESSURE
[barg]</t>
        </is>
      </c>
      <c r="AJ6" s="257" t="inlineStr">
        <is>
          <t>MAKER</t>
        </is>
      </c>
      <c r="AK6" s="258" t="inlineStr">
        <is>
          <t>MODEL</t>
        </is>
      </c>
      <c r="AL6" s="257" t="inlineStr">
        <is>
          <t>EXPLOSION PROOF</t>
        </is>
      </c>
      <c r="AM6" s="257" t="inlineStr">
        <is>
          <t>REMARK</t>
        </is>
      </c>
    </row>
    <row r="7" ht="35.1" customHeight="1" s="247">
      <c r="A7" s="259" t="n"/>
      <c r="B7" s="259" t="n"/>
      <c r="C7" s="259" t="n"/>
      <c r="D7" s="259" t="n"/>
      <c r="E7" s="259" t="n"/>
      <c r="F7" s="259" t="n"/>
      <c r="G7" s="259" t="n"/>
      <c r="H7" s="259" t="n"/>
      <c r="I7" s="259" t="n"/>
      <c r="J7" s="259" t="n"/>
      <c r="K7" s="259" t="n"/>
      <c r="L7" s="259" t="n"/>
      <c r="M7" s="259" t="n"/>
      <c r="N7" s="260" t="inlineStr">
        <is>
          <t>PRESSURE [barg]</t>
        </is>
      </c>
      <c r="O7" s="260" t="inlineStr">
        <is>
          <t>TEMP [degC]</t>
        </is>
      </c>
      <c r="P7" s="259" t="n"/>
      <c r="Q7" s="74" t="inlineStr">
        <is>
          <t>PMC CLASS</t>
        </is>
      </c>
      <c r="R7" s="74" t="inlineStr">
        <is>
          <t>RATING</t>
        </is>
      </c>
      <c r="S7" s="74" t="inlineStr">
        <is>
          <t>Material
[ASTM]</t>
        </is>
      </c>
      <c r="T7" s="261" t="inlineStr">
        <is>
          <t>NB
[mm]</t>
        </is>
      </c>
      <c r="U7" s="261" t="inlineStr">
        <is>
          <t>Sch.</t>
        </is>
      </c>
      <c r="V7" s="259" t="n"/>
      <c r="W7" s="259" t="n"/>
      <c r="X7" s="259" t="n"/>
      <c r="Y7" s="76" t="inlineStr">
        <is>
          <t>ACTUATOR</t>
        </is>
      </c>
      <c r="Z7" s="76" t="inlineStr">
        <is>
          <t>OPERATION MODE</t>
        </is>
      </c>
      <c r="AA7" s="76" t="inlineStr">
        <is>
          <t>BODY</t>
        </is>
      </c>
      <c r="AB7" s="76" t="inlineStr">
        <is>
          <t>BONNET</t>
        </is>
      </c>
      <c r="AC7" s="76" t="inlineStr">
        <is>
          <t>TRIM</t>
        </is>
      </c>
      <c r="AD7" s="76" t="inlineStr">
        <is>
          <t>BODY</t>
        </is>
      </c>
      <c r="AE7" s="76" t="inlineStr">
        <is>
          <t>TRIM</t>
        </is>
      </c>
      <c r="AF7" s="259" t="n"/>
      <c r="AG7" s="259" t="n"/>
      <c r="AH7" s="259" t="n"/>
      <c r="AI7" s="262" t="n"/>
      <c r="AJ7" s="262" t="n"/>
      <c r="AK7" s="259" t="n"/>
      <c r="AL7" s="262" t="n"/>
      <c r="AM7" s="262" t="n"/>
    </row>
    <row r="8" ht="50.1" customFormat="1" customHeight="1" s="183">
      <c r="A8" s="263" t="n">
        <v>1</v>
      </c>
      <c r="B8" s="263" t="inlineStr">
        <is>
          <t>D00P-10LBG10-M05-0001</t>
        </is>
      </c>
      <c r="C8" s="263" t="n"/>
      <c r="D8" s="263" t="n">
        <v>2</v>
      </c>
      <c r="E8" s="263" t="inlineStr">
        <is>
          <t>P&amp;ID FOR AUXILIARY STEAM SYSTEM GROUP 10</t>
        </is>
      </c>
      <c r="F8" s="263" t="n"/>
      <c r="G8" s="263" t="n"/>
      <c r="H8" s="263" t="n"/>
      <c r="I8" s="263" t="n"/>
      <c r="J8" s="263" t="n"/>
      <c r="K8" s="263" t="n"/>
      <c r="L8" s="264" t="inlineStr">
        <is>
          <t>AUX BOILER DISCHARGE GATE VALVE</t>
        </is>
      </c>
      <c r="M8" s="263" t="n"/>
      <c r="N8" s="265" t="n"/>
      <c r="O8" s="265" t="n"/>
      <c r="P8" s="263" t="n"/>
      <c r="Q8" s="263" t="n"/>
      <c r="R8" s="263" t="n"/>
      <c r="S8" s="266" t="n"/>
      <c r="T8" s="267" t="n"/>
      <c r="U8" s="263" t="n"/>
      <c r="V8" s="267" t="n"/>
      <c r="W8" s="266" t="n"/>
      <c r="X8" s="263" t="n"/>
      <c r="Y8" s="263" t="inlineStr">
        <is>
          <t>MOTOR</t>
        </is>
      </c>
      <c r="Z8" s="263" t="n"/>
      <c r="AA8" s="263" t="inlineStr">
        <is>
          <t>MOV(GATE)</t>
        </is>
      </c>
      <c r="AB8" s="263" t="n"/>
      <c r="AC8" s="263" t="n"/>
      <c r="AD8" s="263" t="n"/>
      <c r="AE8" s="263" t="n"/>
      <c r="AF8" s="266" t="n"/>
      <c r="AG8" s="263" t="n"/>
      <c r="AH8" s="266" t="n"/>
      <c r="AI8" s="263" t="n"/>
      <c r="AJ8" s="263" t="n"/>
      <c r="AK8" s="263" t="n"/>
      <c r="AL8" s="263" t="n"/>
      <c r="AM8" s="263" t="inlineStr">
        <is>
          <t>판정축 ③ · 귀속 AUX BOILER→(다분기)</t>
        </is>
      </c>
    </row>
    <row r="9" ht="50.1" customFormat="1" customHeight="1" s="183">
      <c r="A9" s="263" t="n">
        <v>2</v>
      </c>
      <c r="B9" s="263" t="inlineStr">
        <is>
          <t>D00P-10LBG10-M05-0001</t>
        </is>
      </c>
      <c r="C9" s="263" t="n"/>
      <c r="D9" s="263" t="n">
        <v>2</v>
      </c>
      <c r="E9" s="263" t="inlineStr">
        <is>
          <t>P&amp;ID FOR AUXILIARY STEAM SYSTEM GROUP 10</t>
        </is>
      </c>
      <c r="F9" s="263" t="n"/>
      <c r="G9" s="263" t="n"/>
      <c r="H9" s="263" t="n"/>
      <c r="I9" s="263" t="n"/>
      <c r="J9" s="263" t="n"/>
      <c r="K9" s="263" t="n"/>
      <c r="L9" s="264" t="inlineStr">
        <is>
          <t>TO CLEAN DRAIN TANK GLOBE VALVE B</t>
        </is>
      </c>
      <c r="M9" s="263" t="n"/>
      <c r="N9" s="265" t="n"/>
      <c r="O9" s="265" t="n"/>
      <c r="P9" s="263" t="n"/>
      <c r="Q9" s="263" t="n"/>
      <c r="R9" s="263" t="n"/>
      <c r="S9" s="266" t="n"/>
      <c r="T9" s="267" t="n"/>
      <c r="U9" s="263" t="n"/>
      <c r="V9" s="267" t="n"/>
      <c r="W9" s="266" t="n"/>
      <c r="X9" s="263" t="n"/>
      <c r="Y9" s="263" t="inlineStr">
        <is>
          <t>MOTOR</t>
        </is>
      </c>
      <c r="Z9" s="263" t="n"/>
      <c r="AA9" s="263" t="inlineStr">
        <is>
          <t>MOV(GLOBE)</t>
        </is>
      </c>
      <c r="AB9" s="263" t="n"/>
      <c r="AC9" s="263" t="n"/>
      <c r="AD9" s="263" t="n"/>
      <c r="AE9" s="263" t="n"/>
      <c r="AF9" s="266" t="n"/>
      <c r="AG9" s="263" t="n"/>
      <c r="AH9" s="266" t="n"/>
      <c r="AI9" s="263" t="n"/>
      <c r="AJ9" s="263" t="n"/>
      <c r="AK9" s="263" t="n"/>
      <c r="AL9" s="263" t="n"/>
      <c r="AM9" s="263" t="inlineStr">
        <is>
          <t>판정축 ②b · 귀속 →CLEAN DRAIN TANK</t>
        </is>
      </c>
    </row>
    <row r="10" ht="50.1" customFormat="1" customHeight="1" s="183">
      <c r="A10" s="263" t="n">
        <v>3</v>
      </c>
      <c r="B10" s="263" t="inlineStr">
        <is>
          <t>D00P-10LBG10-M05-0001</t>
        </is>
      </c>
      <c r="C10" s="263" t="n"/>
      <c r="D10" s="263" t="n">
        <v>2</v>
      </c>
      <c r="E10" s="263" t="inlineStr">
        <is>
          <t>P&amp;ID FOR AUXILIARY STEAM SYSTEM GROUP 10</t>
        </is>
      </c>
      <c r="F10" s="263" t="n"/>
      <c r="G10" s="263" t="n"/>
      <c r="H10" s="263" t="n"/>
      <c r="I10" s="263" t="n"/>
      <c r="J10" s="263" t="n"/>
      <c r="K10" s="263" t="n"/>
      <c r="L10" s="264" t="inlineStr">
        <is>
          <t>#20 AUX. STEAM HEADER DISCHARGE GATE VALVE</t>
        </is>
      </c>
      <c r="M10" s="263" t="n"/>
      <c r="N10" s="265" t="n"/>
      <c r="O10" s="265" t="n"/>
      <c r="P10" s="263" t="n"/>
      <c r="Q10" s="263" t="n"/>
      <c r="R10" s="263" t="n"/>
      <c r="S10" s="266" t="n"/>
      <c r="T10" s="267" t="n"/>
      <c r="U10" s="263" t="n"/>
      <c r="V10" s="267" t="n"/>
      <c r="W10" s="266" t="n"/>
      <c r="X10" s="263" t="n"/>
      <c r="Y10" s="263" t="inlineStr">
        <is>
          <t>MOTOR</t>
        </is>
      </c>
      <c r="Z10" s="263" t="n"/>
      <c r="AA10" s="263" t="inlineStr">
        <is>
          <t>MOV(GATE)</t>
        </is>
      </c>
      <c r="AB10" s="263" t="n"/>
      <c r="AC10" s="263" t="n"/>
      <c r="AD10" s="263" t="n"/>
      <c r="AE10" s="263" t="n"/>
      <c r="AF10" s="266" t="n"/>
      <c r="AG10" s="263" t="n"/>
      <c r="AH10" s="266" t="n"/>
      <c r="AI10" s="263" t="n"/>
      <c r="AJ10" s="263" t="n"/>
      <c r="AK10" s="263" t="n"/>
      <c r="AL10" s="263" t="n"/>
      <c r="AM10" s="263" t="inlineStr">
        <is>
          <t>판정축 ③ · 귀속 #20 AUX. STEAM HEADER→(다분기)</t>
        </is>
      </c>
    </row>
    <row r="11" ht="50.1" customFormat="1" customHeight="1" s="183">
      <c r="A11" s="263" t="n">
        <v>4</v>
      </c>
      <c r="B11" s="263" t="inlineStr">
        <is>
          <t>D00P-10LBG10-M05-0001</t>
        </is>
      </c>
      <c r="C11" s="263" t="n"/>
      <c r="D11" s="263" t="n">
        <v>2</v>
      </c>
      <c r="E11" s="263" t="inlineStr">
        <is>
          <t>P&amp;ID FOR AUXILIARY STEAM SYSTEM GROUP 10</t>
        </is>
      </c>
      <c r="F11" s="263" t="n"/>
      <c r="G11" s="263" t="n"/>
      <c r="H11" s="263" t="n"/>
      <c r="I11" s="263" t="n"/>
      <c r="J11" s="263" t="n"/>
      <c r="K11" s="263" t="n"/>
      <c r="L11" s="264" t="inlineStr">
        <is>
          <t>TO CLEAN DRAIN TANK GLOBE VALVE A</t>
        </is>
      </c>
      <c r="M11" s="263" t="n"/>
      <c r="N11" s="265" t="n"/>
      <c r="O11" s="265" t="n"/>
      <c r="P11" s="263" t="n"/>
      <c r="Q11" s="263" t="n"/>
      <c r="R11" s="263" t="n"/>
      <c r="S11" s="266" t="n"/>
      <c r="T11" s="267" t="n"/>
      <c r="U11" s="263" t="n"/>
      <c r="V11" s="267" t="n"/>
      <c r="W11" s="266" t="n"/>
      <c r="X11" s="263" t="n"/>
      <c r="Y11" s="263" t="inlineStr">
        <is>
          <t>MOTOR</t>
        </is>
      </c>
      <c r="Z11" s="263" t="n"/>
      <c r="AA11" s="263" t="inlineStr">
        <is>
          <t>GLOBE</t>
        </is>
      </c>
      <c r="AB11" s="263" t="n"/>
      <c r="AC11" s="263" t="n"/>
      <c r="AD11" s="263" t="n"/>
      <c r="AE11" s="263" t="n"/>
      <c r="AF11" s="266" t="n"/>
      <c r="AG11" s="263" t="n"/>
      <c r="AH11" s="266" t="n"/>
      <c r="AI11" s="263" t="n"/>
      <c r="AJ11" s="263" t="n"/>
      <c r="AK11" s="263" t="n"/>
      <c r="AL11" s="263" t="n"/>
      <c r="AM11" s="263" t="inlineStr">
        <is>
          <t>판정축 ②b · 귀속 →CLEAN DRAIN TANK</t>
        </is>
      </c>
    </row>
    <row r="12" ht="50.1" customFormat="1" customHeight="1" s="183">
      <c r="A12" s="263" t="n">
        <v>5</v>
      </c>
      <c r="B12" s="263" t="inlineStr">
        <is>
          <t>D00P-10MAN10-M05-0001</t>
        </is>
      </c>
      <c r="C12" s="263" t="n"/>
      <c r="D12" s="263" t="n">
        <v>2</v>
      </c>
      <c r="E12" s="263" t="inlineStr">
        <is>
          <t>P&amp;ID FOR BYPASS STEAM SYSTEM GROUP 10 (1 OF 2)</t>
        </is>
      </c>
      <c r="F12" s="263" t="n"/>
      <c r="G12" s="263" t="n"/>
      <c r="H12" s="263" t="n"/>
      <c r="I12" s="263" t="n"/>
      <c r="J12" s="263" t="n"/>
      <c r="K12" s="263" t="n"/>
      <c r="L12" s="264" t="inlineStr">
        <is>
          <t>TO CLEAN DRAIN TANK GLOBE VALVE B</t>
        </is>
      </c>
      <c r="M12" s="263" t="n"/>
      <c r="N12" s="265" t="n"/>
      <c r="O12" s="265" t="n"/>
      <c r="P12" s="263" t="n"/>
      <c r="Q12" s="263" t="n"/>
      <c r="R12" s="263" t="n"/>
      <c r="S12" s="266" t="n"/>
      <c r="T12" s="267" t="n"/>
      <c r="U12" s="263" t="n"/>
      <c r="V12" s="267" t="n"/>
      <c r="W12" s="266" t="n"/>
      <c r="X12" s="263" t="n"/>
      <c r="Y12" s="263" t="inlineStr">
        <is>
          <t>MOTOR</t>
        </is>
      </c>
      <c r="Z12" s="263" t="n"/>
      <c r="AA12" s="263" t="inlineStr">
        <is>
          <t>MOV(GLOBE)</t>
        </is>
      </c>
      <c r="AB12" s="263" t="n"/>
      <c r="AC12" s="263" t="n"/>
      <c r="AD12" s="263" t="n"/>
      <c r="AE12" s="263" t="n"/>
      <c r="AF12" s="266" t="n"/>
      <c r="AG12" s="263" t="n"/>
      <c r="AH12" s="266" t="n"/>
      <c r="AI12" s="263" t="n"/>
      <c r="AJ12" s="263" t="n"/>
      <c r="AK12" s="263" t="n"/>
      <c r="AL12" s="263" t="n"/>
      <c r="AM12" s="263" t="inlineStr">
        <is>
          <t>판정축 ②b · 귀속 →CLEAN DRAIN TANK</t>
        </is>
      </c>
    </row>
    <row r="13" ht="50.1" customFormat="1" customHeight="1" s="183">
      <c r="A13" s="263" t="n">
        <v>6</v>
      </c>
      <c r="B13" s="263" t="inlineStr">
        <is>
          <t>D00P-10MAN10-M05-0001</t>
        </is>
      </c>
      <c r="C13" s="263" t="n"/>
      <c r="D13" s="263" t="n">
        <v>2</v>
      </c>
      <c r="E13" s="263" t="inlineStr">
        <is>
          <t>P&amp;ID FOR BYPASS STEAM SYSTEM GROUP 10 (1 OF 2)</t>
        </is>
      </c>
      <c r="F13" s="263" t="n"/>
      <c r="G13" s="263" t="n"/>
      <c r="H13" s="263" t="n"/>
      <c r="I13" s="263" t="n"/>
      <c r="J13" s="263" t="n"/>
      <c r="K13" s="263" t="n"/>
      <c r="L13" s="264" t="inlineStr">
        <is>
          <t>TO CLEAN DRAIN TANK GLOBE VALVE C</t>
        </is>
      </c>
      <c r="M13" s="263" t="n"/>
      <c r="N13" s="265" t="n"/>
      <c r="O13" s="265" t="n"/>
      <c r="P13" s="263" t="n"/>
      <c r="Q13" s="263" t="n"/>
      <c r="R13" s="263" t="n"/>
      <c r="S13" s="266" t="n"/>
      <c r="T13" s="267" t="n"/>
      <c r="U13" s="263" t="n"/>
      <c r="V13" s="267" t="n"/>
      <c r="W13" s="266" t="n"/>
      <c r="X13" s="263" t="n"/>
      <c r="Y13" s="263" t="inlineStr">
        <is>
          <t>MOTOR</t>
        </is>
      </c>
      <c r="Z13" s="263" t="n"/>
      <c r="AA13" s="263" t="inlineStr">
        <is>
          <t>MOV(GLOBE)</t>
        </is>
      </c>
      <c r="AB13" s="263" t="n"/>
      <c r="AC13" s="263" t="n"/>
      <c r="AD13" s="263" t="n"/>
      <c r="AE13" s="263" t="n"/>
      <c r="AF13" s="266" t="n"/>
      <c r="AG13" s="263" t="n"/>
      <c r="AH13" s="266" t="n"/>
      <c r="AI13" s="263" t="n"/>
      <c r="AJ13" s="263" t="n"/>
      <c r="AK13" s="263" t="n"/>
      <c r="AL13" s="263" t="n"/>
      <c r="AM13" s="263" t="inlineStr">
        <is>
          <t>판정축 ②b · 귀속 →CLEAN DRAIN TANK</t>
        </is>
      </c>
    </row>
    <row r="14" ht="50.1" customFormat="1" customHeight="1" s="183">
      <c r="A14" s="263" t="n">
        <v>7</v>
      </c>
      <c r="B14" s="263" t="inlineStr">
        <is>
          <t>D00P-10MAN10-M05-0001</t>
        </is>
      </c>
      <c r="C14" s="263" t="n"/>
      <c r="D14" s="263" t="n">
        <v>2</v>
      </c>
      <c r="E14" s="263" t="inlineStr">
        <is>
          <t>P&amp;ID FOR BYPASS STEAM SYSTEM GROUP 10 (1 OF 2)</t>
        </is>
      </c>
      <c r="F14" s="263" t="n"/>
      <c r="G14" s="263" t="n"/>
      <c r="H14" s="263" t="n"/>
      <c r="I14" s="263" t="n"/>
      <c r="J14" s="263" t="n"/>
      <c r="K14" s="263" t="n"/>
      <c r="L14" s="264" t="inlineStr">
        <is>
          <t>TO CLEAN DRAIN TANK GLOBE VALVE A</t>
        </is>
      </c>
      <c r="M14" s="263" t="n"/>
      <c r="N14" s="263" t="n"/>
      <c r="O14" s="263" t="n"/>
      <c r="P14" s="263" t="n"/>
      <c r="Q14" s="263" t="n"/>
      <c r="R14" s="263" t="n"/>
      <c r="S14" s="266" t="n"/>
      <c r="T14" s="267" t="n"/>
      <c r="U14" s="263" t="n"/>
      <c r="V14" s="267" t="n"/>
      <c r="W14" s="266" t="n"/>
      <c r="X14" s="263" t="n"/>
      <c r="Y14" s="263" t="inlineStr">
        <is>
          <t>MOTOR</t>
        </is>
      </c>
      <c r="Z14" s="263" t="n"/>
      <c r="AA14" s="263" t="inlineStr">
        <is>
          <t>MOV(GLOBE)</t>
        </is>
      </c>
      <c r="AB14" s="266" t="n"/>
      <c r="AC14" s="263" t="n"/>
      <c r="AD14" s="263" t="n"/>
      <c r="AE14" s="263" t="n"/>
      <c r="AF14" s="266" t="n"/>
      <c r="AG14" s="263" t="n"/>
      <c r="AH14" s="266" t="n"/>
      <c r="AI14" s="263" t="n"/>
      <c r="AJ14" s="263" t="n"/>
      <c r="AK14" s="263" t="n"/>
      <c r="AL14" s="263" t="n"/>
      <c r="AM14" s="263" t="inlineStr">
        <is>
          <t>판정축 ②b · 귀속 →CLEAN DRAIN TANK</t>
        </is>
      </c>
    </row>
    <row r="15" ht="50.1" customFormat="1" customHeight="1" s="183">
      <c r="A15" s="263" t="n">
        <v>8</v>
      </c>
      <c r="B15" s="263" t="inlineStr">
        <is>
          <t>D00P-10MAN10-M05-0002</t>
        </is>
      </c>
      <c r="C15" s="263" t="n"/>
      <c r="D15" s="263" t="n">
        <v>2</v>
      </c>
      <c r="E15" s="263" t="inlineStr">
        <is>
          <t>P&amp;ID FOR BYPASS STEAM SYSTEM GROUP 10 (2 OF 2)</t>
        </is>
      </c>
      <c r="F15" s="263" t="n"/>
      <c r="G15" s="263" t="n"/>
      <c r="H15" s="263" t="n"/>
      <c r="I15" s="263" t="n"/>
      <c r="J15" s="263" t="n"/>
      <c r="K15" s="263" t="n"/>
      <c r="L15" s="264" t="inlineStr">
        <is>
          <t>TO CLEAN DRAIN TANK GLOBE VALVE C</t>
        </is>
      </c>
      <c r="M15" s="263" t="n"/>
      <c r="N15" s="263" t="n"/>
      <c r="O15" s="263" t="n"/>
      <c r="P15" s="263" t="n"/>
      <c r="Q15" s="263" t="n"/>
      <c r="R15" s="263" t="n"/>
      <c r="S15" s="266" t="n"/>
      <c r="T15" s="267" t="n"/>
      <c r="U15" s="263" t="n"/>
      <c r="V15" s="267" t="n"/>
      <c r="W15" s="266" t="n"/>
      <c r="X15" s="263" t="n"/>
      <c r="Y15" s="263" t="inlineStr">
        <is>
          <t>MOTOR</t>
        </is>
      </c>
      <c r="Z15" s="263" t="n"/>
      <c r="AA15" s="263" t="inlineStr">
        <is>
          <t>MOV(GLOBE)</t>
        </is>
      </c>
      <c r="AB15" s="266" t="n"/>
      <c r="AC15" s="263" t="n"/>
      <c r="AD15" s="263" t="n"/>
      <c r="AE15" s="263" t="n"/>
      <c r="AF15" s="266" t="n"/>
      <c r="AG15" s="263" t="n"/>
      <c r="AH15" s="266" t="n"/>
      <c r="AI15" s="263" t="n"/>
      <c r="AJ15" s="263" t="n"/>
      <c r="AK15" s="263" t="n"/>
      <c r="AL15" s="263" t="n"/>
      <c r="AM15" s="263" t="inlineStr">
        <is>
          <t>판정축 ②b · 귀속 →CLEAN DRAIN TANK</t>
        </is>
      </c>
    </row>
    <row r="16" ht="50.1" customFormat="1" customHeight="1" s="183">
      <c r="A16" s="263" t="n">
        <v>9</v>
      </c>
      <c r="B16" s="263" t="inlineStr">
        <is>
          <t>D00P-10MAN10-M05-0002</t>
        </is>
      </c>
      <c r="C16" s="263" t="n"/>
      <c r="D16" s="263" t="n">
        <v>2</v>
      </c>
      <c r="E16" s="263" t="inlineStr">
        <is>
          <t>P&amp;ID FOR BYPASS STEAM SYSTEM GROUP 10 (2 OF 2)</t>
        </is>
      </c>
      <c r="F16" s="263" t="n"/>
      <c r="G16" s="263" t="n"/>
      <c r="H16" s="263" t="n"/>
      <c r="I16" s="263" t="n"/>
      <c r="J16" s="263" t="n"/>
      <c r="K16" s="263" t="n"/>
      <c r="L16" s="264" t="inlineStr">
        <is>
          <t>TO CLEAN DRAIN TANK GLOBE VALVE A</t>
        </is>
      </c>
      <c r="M16" s="263" t="n"/>
      <c r="N16" s="263" t="n"/>
      <c r="O16" s="263" t="n"/>
      <c r="P16" s="263" t="n"/>
      <c r="Q16" s="263" t="n"/>
      <c r="R16" s="263" t="n"/>
      <c r="S16" s="266" t="n"/>
      <c r="T16" s="267" t="n"/>
      <c r="U16" s="263" t="n"/>
      <c r="V16" s="267" t="n"/>
      <c r="W16" s="266" t="n"/>
      <c r="X16" s="263" t="n"/>
      <c r="Y16" s="263" t="inlineStr">
        <is>
          <t>MOTOR</t>
        </is>
      </c>
      <c r="Z16" s="263" t="n"/>
      <c r="AA16" s="263" t="inlineStr">
        <is>
          <t>MOV(GLOBE)</t>
        </is>
      </c>
      <c r="AB16" s="266" t="n"/>
      <c r="AC16" s="263" t="n"/>
      <c r="AD16" s="263" t="n"/>
      <c r="AE16" s="263" t="n"/>
      <c r="AF16" s="266" t="n"/>
      <c r="AG16" s="263" t="n"/>
      <c r="AH16" s="266" t="n"/>
      <c r="AI16" s="263" t="n"/>
      <c r="AJ16" s="263" t="n"/>
      <c r="AK16" s="263" t="n"/>
      <c r="AL16" s="263" t="n"/>
      <c r="AM16" s="263" t="inlineStr">
        <is>
          <t>판정축 ②b · 귀속 →CLEAN DRAIN TANK</t>
        </is>
      </c>
    </row>
    <row r="17" ht="50.1" customFormat="1" customHeight="1" s="183">
      <c r="A17" s="263" t="n">
        <v>10</v>
      </c>
      <c r="B17" s="263" t="inlineStr">
        <is>
          <t>D00P-10MAN10-M05-0002</t>
        </is>
      </c>
      <c r="C17" s="263" t="n"/>
      <c r="D17" s="263" t="n">
        <v>2</v>
      </c>
      <c r="E17" s="263" t="inlineStr">
        <is>
          <t>P&amp;ID FOR BYPASS STEAM SYSTEM GROUP 10 (2 OF 2)</t>
        </is>
      </c>
      <c r="F17" s="263" t="n"/>
      <c r="G17" s="263" t="n"/>
      <c r="H17" s="263" t="n"/>
      <c r="I17" s="263" t="n"/>
      <c r="J17" s="263" t="n"/>
      <c r="K17" s="263" t="n"/>
      <c r="L17" s="264" t="inlineStr">
        <is>
          <t>TO CLEAN DRAIN TANK GLOBE VALVE B</t>
        </is>
      </c>
      <c r="M17" s="263" t="n"/>
      <c r="N17" s="263" t="n"/>
      <c r="O17" s="263" t="n"/>
      <c r="P17" s="263" t="n"/>
      <c r="Q17" s="263" t="n"/>
      <c r="R17" s="263" t="n"/>
      <c r="S17" s="266" t="n"/>
      <c r="T17" s="267" t="n"/>
      <c r="U17" s="263" t="n"/>
      <c r="V17" s="267" t="n"/>
      <c r="W17" s="266" t="n"/>
      <c r="X17" s="263" t="n"/>
      <c r="Y17" s="263" t="inlineStr">
        <is>
          <t>MOTOR</t>
        </is>
      </c>
      <c r="Z17" s="263" t="n"/>
      <c r="AA17" s="263" t="inlineStr">
        <is>
          <t>MOV(GLOBE)</t>
        </is>
      </c>
      <c r="AB17" s="266" t="n"/>
      <c r="AC17" s="263" t="n"/>
      <c r="AD17" s="263" t="n"/>
      <c r="AE17" s="263" t="n"/>
      <c r="AF17" s="266" t="n"/>
      <c r="AG17" s="263" t="n"/>
      <c r="AH17" s="266" t="n"/>
      <c r="AI17" s="263" t="n"/>
      <c r="AJ17" s="263" t="n"/>
      <c r="AK17" s="263" t="n"/>
      <c r="AL17" s="263" t="n"/>
      <c r="AM17" s="263" t="inlineStr">
        <is>
          <t>판정축 ②b · 귀속 →CLEAN DRAIN TANK</t>
        </is>
      </c>
    </row>
    <row r="18" ht="50.1" customFormat="1" customHeight="1" s="183">
      <c r="A18" s="263" t="n">
        <v>11</v>
      </c>
      <c r="B18" s="263" t="inlineStr">
        <is>
          <t>D00P-10LCM10-M05-0001</t>
        </is>
      </c>
      <c r="C18" s="263" t="n"/>
      <c r="D18" s="263" t="n">
        <v>2</v>
      </c>
      <c r="E18" s="263" t="inlineStr">
        <is>
          <t>P&amp;ID FOR CLEAN DRAIN SYSTEM FOR GROUP 10</t>
        </is>
      </c>
      <c r="F18" s="263" t="n"/>
      <c r="G18" s="263" t="n"/>
      <c r="H18" s="263" t="n"/>
      <c r="I18" s="263" t="n"/>
      <c r="J18" s="263" t="n"/>
      <c r="K18" s="263" t="n"/>
      <c r="L18" s="264" t="inlineStr">
        <is>
          <t>TO BLOCK #10 CONDENSER GLOBE VALVE B</t>
        </is>
      </c>
      <c r="M18" s="263" t="n"/>
      <c r="N18" s="263" t="n"/>
      <c r="O18" s="263" t="n"/>
      <c r="P18" s="263" t="n"/>
      <c r="Q18" s="263" t="n"/>
      <c r="R18" s="263" t="n"/>
      <c r="S18" s="266" t="n"/>
      <c r="T18" s="267" t="n"/>
      <c r="U18" s="263" t="n"/>
      <c r="V18" s="267" t="n"/>
      <c r="W18" s="266" t="n"/>
      <c r="X18" s="263" t="n"/>
      <c r="Y18" s="263" t="inlineStr">
        <is>
          <t>MOTOR</t>
        </is>
      </c>
      <c r="Z18" s="263" t="n"/>
      <c r="AA18" s="263" t="inlineStr">
        <is>
          <t>MOV(GLOBE)</t>
        </is>
      </c>
      <c r="AB18" s="263" t="n"/>
      <c r="AC18" s="263" t="n"/>
      <c r="AD18" s="263" t="n"/>
      <c r="AE18" s="263" t="n"/>
      <c r="AF18" s="266" t="n"/>
      <c r="AG18" s="263" t="n"/>
      <c r="AH18" s="266" t="n"/>
      <c r="AI18" s="263" t="n"/>
      <c r="AJ18" s="263" t="n"/>
      <c r="AK18" s="263" t="n"/>
      <c r="AL18" s="263" t="n"/>
      <c r="AM18" s="263" t="inlineStr">
        <is>
          <t>[DESCRIPTION] 후보에서 골랐으나 근거가 약함 — 확인 필요 → 미처리</t>
        </is>
      </c>
    </row>
    <row r="19" ht="50.1" customFormat="1" customHeight="1" s="183">
      <c r="A19" s="263" t="n">
        <v>12</v>
      </c>
      <c r="B19" s="263" t="inlineStr">
        <is>
          <t>D00P-10LCM10-M05-0001</t>
        </is>
      </c>
      <c r="C19" s="263" t="n"/>
      <c r="D19" s="263" t="n">
        <v>2</v>
      </c>
      <c r="E19" s="263" t="inlineStr">
        <is>
          <t>P&amp;ID FOR CLEAN DRAIN SYSTEM FOR GROUP 10</t>
        </is>
      </c>
      <c r="F19" s="263" t="n"/>
      <c r="G19" s="263" t="n"/>
      <c r="H19" s="263" t="n"/>
      <c r="I19" s="263" t="n"/>
      <c r="J19" s="263" t="n"/>
      <c r="K19" s="263" t="n"/>
      <c r="L19" s="264" t="inlineStr">
        <is>
          <t>TO BLOCK #10 CONDENSER GLOBE VALVE A</t>
        </is>
      </c>
      <c r="M19" s="263" t="n"/>
      <c r="N19" s="263" t="n"/>
      <c r="O19" s="263" t="n"/>
      <c r="P19" s="263" t="n"/>
      <c r="Q19" s="263" t="n"/>
      <c r="R19" s="263" t="n"/>
      <c r="S19" s="266" t="n"/>
      <c r="T19" s="267" t="n"/>
      <c r="U19" s="263" t="n"/>
      <c r="V19" s="267" t="n"/>
      <c r="W19" s="266" t="n"/>
      <c r="X19" s="263" t="n"/>
      <c r="Y19" s="263" t="inlineStr">
        <is>
          <t>MOTOR</t>
        </is>
      </c>
      <c r="Z19" s="263" t="n"/>
      <c r="AA19" s="263" t="inlineStr">
        <is>
          <t>MOV(GLOBE)</t>
        </is>
      </c>
      <c r="AB19" s="263" t="n"/>
      <c r="AC19" s="263" t="n"/>
      <c r="AD19" s="263" t="n"/>
      <c r="AE19" s="263" t="n"/>
      <c r="AF19" s="266" t="n"/>
      <c r="AG19" s="263" t="n"/>
      <c r="AH19" s="266" t="n"/>
      <c r="AI19" s="263" t="n"/>
      <c r="AJ19" s="263" t="n"/>
      <c r="AK19" s="263" t="n"/>
      <c r="AL19" s="263" t="n"/>
      <c r="AM19" s="263" t="inlineStr">
        <is>
          <t>판정축 ②b · 귀속 →BLOCK #10 CONDENSER</t>
        </is>
      </c>
    </row>
    <row r="20" ht="50.1" customFormat="1" customHeight="1" s="183">
      <c r="A20" s="263" t="n">
        <v>13</v>
      </c>
      <c r="B20" s="263" t="inlineStr">
        <is>
          <t>D00P-10LCA10-M05-0001</t>
        </is>
      </c>
      <c r="C20" s="263" t="n"/>
      <c r="D20" s="263" t="n">
        <v>2</v>
      </c>
      <c r="E20" s="263" t="inlineStr">
        <is>
          <t>P&amp;ID FOR CONDENSATE SYSTEM GROUP 10 (1 OF 2)</t>
        </is>
      </c>
      <c r="F20" s="263" t="n"/>
      <c r="G20" s="263" t="n"/>
      <c r="H20" s="263" t="n"/>
      <c r="I20" s="263" t="n"/>
      <c r="J20" s="263" t="n"/>
      <c r="K20" s="263" t="n"/>
      <c r="L20" s="264" t="inlineStr">
        <is>
          <t>CEP GATE VALVE</t>
        </is>
      </c>
      <c r="M20" s="263" t="n"/>
      <c r="N20" s="263" t="n"/>
      <c r="O20" s="263" t="n"/>
      <c r="P20" s="263" t="n"/>
      <c r="Q20" s="263" t="n"/>
      <c r="R20" s="263" t="n"/>
      <c r="S20" s="266" t="n"/>
      <c r="T20" s="267" t="n"/>
      <c r="U20" s="263" t="n"/>
      <c r="V20" s="267" t="n"/>
      <c r="W20" s="266" t="n"/>
      <c r="X20" s="263" t="n"/>
      <c r="Y20" s="263" t="inlineStr">
        <is>
          <t>MOTOR</t>
        </is>
      </c>
      <c r="Z20" s="263" t="n"/>
      <c r="AA20" s="263" t="inlineStr">
        <is>
          <t>MOV(GATE)</t>
        </is>
      </c>
      <c r="AB20" s="263" t="n"/>
      <c r="AC20" s="263" t="n"/>
      <c r="AD20" s="263" t="n"/>
      <c r="AE20" s="263" t="n"/>
      <c r="AF20" s="266" t="n"/>
      <c r="AG20" s="263" t="n"/>
      <c r="AH20" s="266" t="n"/>
      <c r="AI20" s="263" t="n"/>
      <c r="AJ20" s="263" t="n"/>
      <c r="AK20" s="263" t="n"/>
      <c r="AL20" s="263" t="n"/>
      <c r="AM20" s="263" t="inlineStr">
        <is>
          <t>판정축 ① · 귀속 CEP</t>
        </is>
      </c>
    </row>
    <row r="21" ht="50.1" customFormat="1" customHeight="1" s="183">
      <c r="A21" s="263" t="n">
        <v>14</v>
      </c>
      <c r="B21" s="263" t="inlineStr">
        <is>
          <t>D00P-10LCA10-M05-0001</t>
        </is>
      </c>
      <c r="C21" s="263" t="n"/>
      <c r="D21" s="263" t="n">
        <v>2</v>
      </c>
      <c r="E21" s="263" t="inlineStr">
        <is>
          <t>P&amp;ID FOR CONDENSATE SYSTEM GROUP 10 (1 OF 2)</t>
        </is>
      </c>
      <c r="F21" s="263" t="n"/>
      <c r="G21" s="263" t="n"/>
      <c r="H21" s="263" t="n"/>
      <c r="I21" s="263" t="n"/>
      <c r="J21" s="263" t="n"/>
      <c r="K21" s="263" t="n"/>
      <c r="L21" s="264" t="inlineStr">
        <is>
          <t>TO SAFE LOCATION GATE VALVE A</t>
        </is>
      </c>
      <c r="M21" s="263" t="n"/>
      <c r="N21" s="263" t="n"/>
      <c r="O21" s="263" t="n"/>
      <c r="P21" s="263" t="n"/>
      <c r="Q21" s="263" t="n"/>
      <c r="R21" s="263" t="n"/>
      <c r="S21" s="266" t="n"/>
      <c r="T21" s="267" t="n"/>
      <c r="U21" s="263" t="n"/>
      <c r="V21" s="267" t="n"/>
      <c r="W21" s="266" t="n"/>
      <c r="X21" s="263" t="n"/>
      <c r="Y21" s="263" t="inlineStr">
        <is>
          <t>MOTOR</t>
        </is>
      </c>
      <c r="Z21" s="263" t="n"/>
      <c r="AA21" s="263" t="inlineStr">
        <is>
          <t>MOV(GATE)</t>
        </is>
      </c>
      <c r="AB21" s="263" t="n"/>
      <c r="AC21" s="263" t="n"/>
      <c r="AD21" s="263" t="n"/>
      <c r="AE21" s="263" t="n"/>
      <c r="AF21" s="266" t="n"/>
      <c r="AG21" s="263" t="n"/>
      <c r="AH21" s="266" t="n"/>
      <c r="AI21" s="263" t="n"/>
      <c r="AJ21" s="263" t="n"/>
      <c r="AK21" s="263" t="n"/>
      <c r="AL21" s="263" t="n"/>
      <c r="AM21" s="263" t="inlineStr">
        <is>
          <t>[DESCRIPTION] 후보에서 골랐으나 근거가 약함 — 확인 필요 → 미처리</t>
        </is>
      </c>
    </row>
    <row r="22" ht="50.1" customFormat="1" customHeight="1" s="183">
      <c r="A22" s="263" t="n">
        <v>15</v>
      </c>
      <c r="B22" s="263" t="inlineStr">
        <is>
          <t>D00P-10LCA10-M05-0001</t>
        </is>
      </c>
      <c r="C22" s="263" t="n"/>
      <c r="D22" s="263" t="n">
        <v>2</v>
      </c>
      <c r="E22" s="263" t="inlineStr">
        <is>
          <t>P&amp;ID FOR CONDENSATE SYSTEM GROUP 10 (1 OF 2)</t>
        </is>
      </c>
      <c r="F22" s="263" t="n"/>
      <c r="G22" s="263" t="n"/>
      <c r="H22" s="263" t="n"/>
      <c r="I22" s="263" t="n"/>
      <c r="J22" s="263" t="n"/>
      <c r="K22" s="263" t="n"/>
      <c r="L22" s="264" t="inlineStr">
        <is>
          <t>TO SAFE LOCATION GATE VALVE B</t>
        </is>
      </c>
      <c r="M22" s="263" t="n"/>
      <c r="N22" s="263" t="n"/>
      <c r="O22" s="263" t="n"/>
      <c r="P22" s="263" t="n"/>
      <c r="Q22" s="263" t="n"/>
      <c r="R22" s="263" t="n"/>
      <c r="S22" s="266" t="n"/>
      <c r="T22" s="267" t="n"/>
      <c r="U22" s="263" t="n"/>
      <c r="V22" s="267" t="n"/>
      <c r="W22" s="266" t="n"/>
      <c r="X22" s="263" t="n"/>
      <c r="Y22" s="263" t="inlineStr">
        <is>
          <t>MOTOR</t>
        </is>
      </c>
      <c r="Z22" s="263" t="n"/>
      <c r="AA22" s="263" t="inlineStr">
        <is>
          <t>MOV(GATE)</t>
        </is>
      </c>
      <c r="AB22" s="263" t="n"/>
      <c r="AC22" s="263" t="n"/>
      <c r="AD22" s="263" t="n"/>
      <c r="AE22" s="263" t="n"/>
      <c r="AF22" s="266" t="n"/>
      <c r="AG22" s="263" t="n"/>
      <c r="AH22" s="266" t="n"/>
      <c r="AI22" s="263" t="n"/>
      <c r="AJ22" s="263" t="n"/>
      <c r="AK22" s="263" t="n"/>
      <c r="AL22" s="263" t="n"/>
      <c r="AM22" s="263" t="inlineStr">
        <is>
          <t>[DESCRIPTION] 후보에서 골랐으나 근거가 약함 — 확인 필요 → 미처리</t>
        </is>
      </c>
    </row>
    <row r="23" ht="50.1" customFormat="1" customHeight="1" s="183">
      <c r="A23" s="263" t="n">
        <v>16</v>
      </c>
      <c r="B23" s="263" t="inlineStr">
        <is>
          <t>D00P-10MAJ10-M05-0001</t>
        </is>
      </c>
      <c r="C23" s="263" t="n"/>
      <c r="D23" s="263" t="n">
        <v>2</v>
      </c>
      <c r="E23" s="263" t="inlineStr">
        <is>
          <t>P&amp;ID FOR CONDENSER AIR REMOVAL SYSTEM GROUP 10</t>
        </is>
      </c>
      <c r="F23" s="263" t="n"/>
      <c r="G23" s="263" t="n"/>
      <c r="H23" s="263" t="n"/>
      <c r="I23" s="263" t="n"/>
      <c r="J23" s="263" t="n"/>
      <c r="K23" s="263" t="n"/>
      <c r="L23" s="264" t="n"/>
      <c r="M23" s="263" t="n"/>
      <c r="N23" s="265" t="n"/>
      <c r="O23" s="265" t="n"/>
      <c r="P23" s="263" t="n"/>
      <c r="Q23" s="263" t="n"/>
      <c r="R23" s="263" t="n"/>
      <c r="S23" s="266" t="n"/>
      <c r="T23" s="267" t="n"/>
      <c r="U23" s="263" t="n"/>
      <c r="V23" s="267" t="n"/>
      <c r="W23" s="266" t="n"/>
      <c r="X23" s="263" t="n"/>
      <c r="Y23" s="263" t="inlineStr">
        <is>
          <t>MOTOR</t>
        </is>
      </c>
      <c r="Z23" s="263" t="n"/>
      <c r="AA23" s="263" t="inlineStr">
        <is>
          <t>GATE</t>
        </is>
      </c>
      <c r="AB23" s="266" t="n"/>
      <c r="AC23" s="263" t="n"/>
      <c r="AD23" s="263" t="n"/>
      <c r="AE23" s="263" t="n"/>
      <c r="AF23" s="266" t="n"/>
      <c r="AG23" s="263" t="n"/>
      <c r="AH23" s="266" t="n"/>
      <c r="AI23" s="263" t="n"/>
      <c r="AJ23" s="263" t="n"/>
      <c r="AK23" s="263" t="n"/>
      <c r="AL23" s="263" t="n"/>
      <c r="AM23" s="263" t="inlineStr">
        <is>
          <t>[DESCRIPTION] 근거 없음 — 직접 입력 → 미처리</t>
        </is>
      </c>
    </row>
    <row r="24" ht="50.1" customFormat="1" customHeight="1" s="183">
      <c r="A24" s="263" t="n">
        <v>17</v>
      </c>
      <c r="B24" s="263" t="inlineStr">
        <is>
          <t>D00P-10MAJ10-M05-0001</t>
        </is>
      </c>
      <c r="C24" s="263" t="n"/>
      <c r="D24" s="263" t="n">
        <v>2</v>
      </c>
      <c r="E24" s="263" t="inlineStr">
        <is>
          <t>P&amp;ID FOR CONDENSER AIR REMOVAL SYSTEM GROUP 10</t>
        </is>
      </c>
      <c r="F24" s="263" t="n"/>
      <c r="G24" s="263" t="n"/>
      <c r="H24" s="263" t="n"/>
      <c r="I24" s="263" t="n"/>
      <c r="J24" s="263" t="n"/>
      <c r="K24" s="263" t="n"/>
      <c r="L24" s="264" t="n"/>
      <c r="M24" s="263" t="n"/>
      <c r="N24" s="265" t="n"/>
      <c r="O24" s="265" t="n"/>
      <c r="P24" s="263" t="n"/>
      <c r="Q24" s="263" t="n"/>
      <c r="R24" s="263" t="n"/>
      <c r="S24" s="266" t="n"/>
      <c r="T24" s="267" t="n"/>
      <c r="U24" s="263" t="n"/>
      <c r="V24" s="267" t="n"/>
      <c r="W24" s="266" t="n"/>
      <c r="X24" s="263" t="n"/>
      <c r="Y24" s="263" t="inlineStr">
        <is>
          <t>MOTOR</t>
        </is>
      </c>
      <c r="Z24" s="263" t="n"/>
      <c r="AA24" s="263" t="inlineStr">
        <is>
          <t>GATE</t>
        </is>
      </c>
      <c r="AB24" s="266" t="n"/>
      <c r="AC24" s="263" t="n"/>
      <c r="AD24" s="263" t="n"/>
      <c r="AE24" s="263" t="n"/>
      <c r="AF24" s="266" t="n"/>
      <c r="AG24" s="263" t="n"/>
      <c r="AH24" s="266" t="n"/>
      <c r="AI24" s="263" t="n"/>
      <c r="AJ24" s="263" t="n"/>
      <c r="AK24" s="263" t="n"/>
      <c r="AL24" s="263" t="n"/>
      <c r="AM24" s="263" t="inlineStr">
        <is>
          <t>[DESCRIPTION] 근거 없음 — 직접 입력 → 미처리</t>
        </is>
      </c>
    </row>
    <row r="25" ht="50.1" customFormat="1" customHeight="1" s="183">
      <c r="A25" s="263" t="n">
        <v>18</v>
      </c>
      <c r="B25" s="263" t="inlineStr">
        <is>
          <t>D00P-10MAJ10-M05-0001</t>
        </is>
      </c>
      <c r="C25" s="263" t="n"/>
      <c r="D25" s="263" t="n">
        <v>2</v>
      </c>
      <c r="E25" s="263" t="inlineStr">
        <is>
          <t>P&amp;ID FOR CONDENSER AIR REMOVAL SYSTEM GROUP 10</t>
        </is>
      </c>
      <c r="F25" s="263" t="n"/>
      <c r="G25" s="263" t="n"/>
      <c r="H25" s="263" t="n"/>
      <c r="I25" s="263" t="n"/>
      <c r="J25" s="263" t="n"/>
      <c r="K25" s="263" t="n"/>
      <c r="L25" s="264" t="n"/>
      <c r="M25" s="263" t="n"/>
      <c r="N25" s="265" t="n"/>
      <c r="O25" s="265" t="n"/>
      <c r="P25" s="263" t="n"/>
      <c r="Q25" s="263" t="n"/>
      <c r="R25" s="263" t="n"/>
      <c r="S25" s="266" t="n"/>
      <c r="T25" s="267" t="n"/>
      <c r="U25" s="263" t="n"/>
      <c r="V25" s="267" t="n"/>
      <c r="W25" s="266" t="n"/>
      <c r="X25" s="263" t="n"/>
      <c r="Y25" s="263" t="inlineStr">
        <is>
          <t>MOTOR</t>
        </is>
      </c>
      <c r="Z25" s="263" t="n"/>
      <c r="AA25" s="263" t="inlineStr">
        <is>
          <t>GATE</t>
        </is>
      </c>
      <c r="AB25" s="266" t="n"/>
      <c r="AC25" s="263" t="n"/>
      <c r="AD25" s="263" t="n"/>
      <c r="AE25" s="263" t="n"/>
      <c r="AF25" s="266" t="n"/>
      <c r="AG25" s="263" t="n"/>
      <c r="AH25" s="266" t="n"/>
      <c r="AI25" s="263" t="n"/>
      <c r="AJ25" s="263" t="n"/>
      <c r="AK25" s="263" t="n"/>
      <c r="AL25" s="263" t="n"/>
      <c r="AM25" s="263" t="inlineStr">
        <is>
          <t>[DESCRIPTION] 근거 없음 — 직접 입력 → 미처리</t>
        </is>
      </c>
    </row>
    <row r="26" ht="50.1" customFormat="1" customHeight="1" s="183">
      <c r="A26" s="263" t="n">
        <v>19</v>
      </c>
      <c r="B26" s="263" t="inlineStr">
        <is>
          <t>D00P-10MAJ10-M05-0001</t>
        </is>
      </c>
      <c r="C26" s="263" t="n"/>
      <c r="D26" s="263" t="n">
        <v>2</v>
      </c>
      <c r="E26" s="263" t="inlineStr">
        <is>
          <t>P&amp;ID FOR CONDENSER AIR REMOVAL SYSTEM GROUP 10</t>
        </is>
      </c>
      <c r="F26" s="263" t="n"/>
      <c r="G26" s="263" t="n"/>
      <c r="H26" s="263" t="n"/>
      <c r="I26" s="263" t="n"/>
      <c r="J26" s="263" t="n"/>
      <c r="K26" s="263" t="n"/>
      <c r="L26" s="264" t="inlineStr">
        <is>
          <t>FROM CEP DISCHARGE HEADER GATE VALVE</t>
        </is>
      </c>
      <c r="M26" s="263" t="n"/>
      <c r="N26" s="265" t="n"/>
      <c r="O26" s="265" t="n"/>
      <c r="P26" s="263" t="n"/>
      <c r="Q26" s="263" t="n"/>
      <c r="R26" s="263" t="n"/>
      <c r="S26" s="266" t="n"/>
      <c r="T26" s="267" t="n"/>
      <c r="U26" s="263" t="n"/>
      <c r="V26" s="267" t="n"/>
      <c r="W26" s="266" t="n"/>
      <c r="X26" s="263" t="n"/>
      <c r="Y26" s="263" t="inlineStr">
        <is>
          <t>MOTOR</t>
        </is>
      </c>
      <c r="Z26" s="263" t="n"/>
      <c r="AA26" s="263" t="inlineStr">
        <is>
          <t>GATE</t>
        </is>
      </c>
      <c r="AB26" s="266" t="n"/>
      <c r="AC26" s="263" t="n"/>
      <c r="AD26" s="263" t="n"/>
      <c r="AE26" s="263" t="n"/>
      <c r="AF26" s="266" t="n"/>
      <c r="AG26" s="263" t="n"/>
      <c r="AH26" s="266" t="n"/>
      <c r="AI26" s="263" t="n"/>
      <c r="AJ26" s="263" t="n"/>
      <c r="AK26" s="263" t="n"/>
      <c r="AL26" s="263" t="n"/>
      <c r="AM26" s="263" t="inlineStr">
        <is>
          <t>[DESCRIPTION] 후보에서 골랐으나 근거가 약함 — 확인 필요 → 미처리</t>
        </is>
      </c>
    </row>
    <row r="27" ht="50.1" customFormat="1" customHeight="1" s="183">
      <c r="A27" s="263" t="n">
        <v>20</v>
      </c>
      <c r="B27" s="263" t="inlineStr">
        <is>
          <t>D00P-10LBC40-M05-0001</t>
        </is>
      </c>
      <c r="C27" s="263" t="n"/>
      <c r="D27" s="263" t="n">
        <v>2</v>
      </c>
      <c r="E27" s="266" t="inlineStr">
        <is>
          <t>P&amp;ID FOR CRH STEAM SYSTEM GROUP 10</t>
        </is>
      </c>
      <c r="F27" s="263" t="n"/>
      <c r="G27" s="263" t="n"/>
      <c r="H27" s="263" t="n"/>
      <c r="I27" s="263" t="n"/>
      <c r="J27" s="263" t="n"/>
      <c r="K27" s="263" t="n"/>
      <c r="L27" s="264" t="inlineStr">
        <is>
          <t>TO HRSG#11 CRH GATE VALVE A</t>
        </is>
      </c>
      <c r="M27" s="263" t="n"/>
      <c r="N27" s="265" t="n"/>
      <c r="O27" s="265" t="n"/>
      <c r="P27" s="263" t="n"/>
      <c r="Q27" s="263" t="n"/>
      <c r="R27" s="263" t="n"/>
      <c r="S27" s="266" t="n"/>
      <c r="T27" s="267" t="n"/>
      <c r="U27" s="263" t="n"/>
      <c r="V27" s="267" t="n"/>
      <c r="W27" s="266" t="n"/>
      <c r="X27" s="263" t="n"/>
      <c r="Y27" s="263" t="inlineStr">
        <is>
          <t>MOTOR</t>
        </is>
      </c>
      <c r="Z27" s="263" t="n"/>
      <c r="AA27" s="263" t="inlineStr">
        <is>
          <t>MOV(GATE)</t>
        </is>
      </c>
      <c r="AB27" s="266" t="n"/>
      <c r="AC27" s="263" t="n"/>
      <c r="AD27" s="263" t="n"/>
      <c r="AE27" s="263" t="n"/>
      <c r="AF27" s="266" t="n"/>
      <c r="AG27" s="263" t="n"/>
      <c r="AH27" s="266" t="n"/>
      <c r="AI27" s="263" t="n"/>
      <c r="AJ27" s="263" t="n"/>
      <c r="AK27" s="263" t="n"/>
      <c r="AL27" s="263" t="n"/>
      <c r="AM27" s="263" t="inlineStr">
        <is>
          <t>판정축 ②b · 귀속 →HRSG#11 CRH</t>
        </is>
      </c>
    </row>
    <row r="28" ht="50.1" customFormat="1" customHeight="1" s="183">
      <c r="A28" s="263" t="n">
        <v>21</v>
      </c>
      <c r="B28" s="263" t="inlineStr">
        <is>
          <t>D00P-10LBC40-M05-0001</t>
        </is>
      </c>
      <c r="C28" s="263" t="n"/>
      <c r="D28" s="263" t="n">
        <v>2</v>
      </c>
      <c r="E28" s="266" t="inlineStr">
        <is>
          <t>P&amp;ID FOR CRH STEAM SYSTEM GROUP 10</t>
        </is>
      </c>
      <c r="F28" s="263" t="n"/>
      <c r="G28" s="263" t="n"/>
      <c r="H28" s="263" t="n"/>
      <c r="I28" s="263" t="n"/>
      <c r="J28" s="263" t="n"/>
      <c r="K28" s="263" t="n"/>
      <c r="L28" s="264" t="inlineStr">
        <is>
          <t>TO FLASH BOX HRSG#11 BD TANK GLOBE VALVE B</t>
        </is>
      </c>
      <c r="M28" s="263" t="n"/>
      <c r="N28" s="265" t="n"/>
      <c r="O28" s="265" t="n"/>
      <c r="P28" s="263" t="n"/>
      <c r="Q28" s="263" t="n"/>
      <c r="R28" s="263" t="n"/>
      <c r="S28" s="266" t="n"/>
      <c r="T28" s="267" t="n"/>
      <c r="U28" s="263" t="n"/>
      <c r="V28" s="267" t="n"/>
      <c r="W28" s="266" t="n"/>
      <c r="X28" s="263" t="n"/>
      <c r="Y28" s="263" t="inlineStr">
        <is>
          <t>MOTOR</t>
        </is>
      </c>
      <c r="Z28" s="263" t="n"/>
      <c r="AA28" s="263" t="inlineStr">
        <is>
          <t>MOV(GLOBE)</t>
        </is>
      </c>
      <c r="AB28" s="266" t="n"/>
      <c r="AC28" s="263" t="n"/>
      <c r="AD28" s="263" t="n"/>
      <c r="AE28" s="263" t="n"/>
      <c r="AF28" s="266" t="n"/>
      <c r="AG28" s="263" t="n"/>
      <c r="AH28" s="266" t="n"/>
      <c r="AI28" s="263" t="n"/>
      <c r="AJ28" s="263" t="n"/>
      <c r="AK28" s="263" t="n"/>
      <c r="AL28" s="263" t="n"/>
      <c r="AM28" s="263" t="inlineStr">
        <is>
          <t>판정축 ②b · 귀속 →FLASH BOX HRSG#11 BD TANK</t>
        </is>
      </c>
    </row>
    <row r="29" ht="50.1" customFormat="1" customHeight="1" s="183">
      <c r="A29" s="263" t="n">
        <v>22</v>
      </c>
      <c r="B29" s="263" t="inlineStr">
        <is>
          <t>D00P-10LBC40-M05-0001</t>
        </is>
      </c>
      <c r="C29" s="263" t="n"/>
      <c r="D29" s="263" t="n">
        <v>2</v>
      </c>
      <c r="E29" s="266" t="inlineStr">
        <is>
          <t>P&amp;ID FOR CRH STEAM SYSTEM GROUP 10</t>
        </is>
      </c>
      <c r="F29" s="263" t="n"/>
      <c r="G29" s="263" t="n"/>
      <c r="H29" s="263" t="n"/>
      <c r="I29" s="263" t="n"/>
      <c r="J29" s="263" t="n"/>
      <c r="K29" s="263" t="n"/>
      <c r="L29" s="264" t="inlineStr">
        <is>
          <t>TO HRSG#11 CRH GATE VALVE B</t>
        </is>
      </c>
      <c r="M29" s="263" t="n"/>
      <c r="N29" s="265" t="n"/>
      <c r="O29" s="265" t="n"/>
      <c r="P29" s="263" t="n"/>
      <c r="Q29" s="263" t="n"/>
      <c r="R29" s="263" t="n"/>
      <c r="S29" s="266" t="n"/>
      <c r="T29" s="267" t="n"/>
      <c r="U29" s="263" t="n"/>
      <c r="V29" s="267" t="n"/>
      <c r="W29" s="266" t="n"/>
      <c r="X29" s="263" t="n"/>
      <c r="Y29" s="263" t="inlineStr">
        <is>
          <t>MOTOR</t>
        </is>
      </c>
      <c r="Z29" s="263" t="n"/>
      <c r="AA29" s="263" t="inlineStr">
        <is>
          <t>MOV(GATE)</t>
        </is>
      </c>
      <c r="AB29" s="266" t="n"/>
      <c r="AC29" s="263" t="n"/>
      <c r="AD29" s="263" t="n"/>
      <c r="AE29" s="263" t="n"/>
      <c r="AF29" s="266" t="n"/>
      <c r="AG29" s="263" t="n"/>
      <c r="AH29" s="266" t="n"/>
      <c r="AI29" s="263" t="n"/>
      <c r="AJ29" s="263" t="n"/>
      <c r="AK29" s="263" t="n"/>
      <c r="AL29" s="263" t="n"/>
      <c r="AM29" s="263" t="inlineStr">
        <is>
          <t>판정축 ②b · 귀속 →HRSG#11 CRH</t>
        </is>
      </c>
    </row>
    <row r="30" ht="50.1" customFormat="1" customHeight="1" s="183">
      <c r="A30" s="263" t="n">
        <v>23</v>
      </c>
      <c r="B30" s="263" t="inlineStr">
        <is>
          <t>D00P-10LBC40-M05-0001</t>
        </is>
      </c>
      <c r="C30" s="263" t="n"/>
      <c r="D30" s="263" t="n">
        <v>2</v>
      </c>
      <c r="E30" s="266" t="inlineStr">
        <is>
          <t>P&amp;ID FOR CRH STEAM SYSTEM GROUP 10</t>
        </is>
      </c>
      <c r="F30" s="263" t="n"/>
      <c r="G30" s="263" t="n"/>
      <c r="H30" s="263" t="n"/>
      <c r="I30" s="263" t="n"/>
      <c r="J30" s="263" t="n"/>
      <c r="K30" s="263" t="n"/>
      <c r="L30" s="264" t="inlineStr">
        <is>
          <t>TO FLASH BOX HRSG#11 BD TANK GLOBE VALVE A</t>
        </is>
      </c>
      <c r="M30" s="263" t="n"/>
      <c r="N30" s="265" t="n"/>
      <c r="O30" s="265" t="n"/>
      <c r="P30" s="263" t="n"/>
      <c r="Q30" s="263" t="n"/>
      <c r="R30" s="263" t="n"/>
      <c r="S30" s="266" t="n"/>
      <c r="T30" s="267" t="n"/>
      <c r="U30" s="263" t="n"/>
      <c r="V30" s="267" t="n"/>
      <c r="W30" s="266" t="n"/>
      <c r="X30" s="263" t="n"/>
      <c r="Y30" s="263" t="inlineStr">
        <is>
          <t>MOTOR</t>
        </is>
      </c>
      <c r="Z30" s="263" t="n"/>
      <c r="AA30" s="263" t="inlineStr">
        <is>
          <t>MOV(GLOBE)</t>
        </is>
      </c>
      <c r="AB30" s="266" t="n"/>
      <c r="AC30" s="263" t="n"/>
      <c r="AD30" s="263" t="n"/>
      <c r="AE30" s="263" t="n"/>
      <c r="AF30" s="266" t="n"/>
      <c r="AG30" s="263" t="n"/>
      <c r="AH30" s="266" t="n"/>
      <c r="AI30" s="263" t="n"/>
      <c r="AJ30" s="263" t="n"/>
      <c r="AK30" s="263" t="n"/>
      <c r="AL30" s="263" t="n"/>
      <c r="AM30" s="263" t="inlineStr">
        <is>
          <t>판정축 ②b · 귀속 →FLASH BOX HRSG#11 BD TANK</t>
        </is>
      </c>
    </row>
    <row r="31" ht="50.1" customFormat="1" customHeight="1" s="183">
      <c r="A31" s="263" t="n">
        <v>24</v>
      </c>
      <c r="B31" s="263" t="inlineStr">
        <is>
          <t>D00P-10LBC40-M05-0001</t>
        </is>
      </c>
      <c r="C31" s="263" t="n"/>
      <c r="D31" s="263" t="n">
        <v>2</v>
      </c>
      <c r="E31" s="266" t="inlineStr">
        <is>
          <t>P&amp;ID FOR CRH STEAM SYSTEM GROUP 10</t>
        </is>
      </c>
      <c r="F31" s="263" t="n"/>
      <c r="G31" s="263" t="n"/>
      <c r="H31" s="263" t="n"/>
      <c r="I31" s="263" t="n"/>
      <c r="J31" s="263" t="n"/>
      <c r="K31" s="263" t="n"/>
      <c r="L31" s="264" t="inlineStr">
        <is>
          <t>HRSG#12 BD TANK GLOBE VALVE</t>
        </is>
      </c>
      <c r="M31" s="263" t="n"/>
      <c r="N31" s="265" t="n"/>
      <c r="O31" s="265" t="n"/>
      <c r="P31" s="263" t="n"/>
      <c r="Q31" s="263" t="n"/>
      <c r="R31" s="263" t="n"/>
      <c r="S31" s="266" t="n"/>
      <c r="T31" s="267" t="n"/>
      <c r="U31" s="263" t="n"/>
      <c r="V31" s="267" t="n"/>
      <c r="W31" s="266" t="n"/>
      <c r="X31" s="263" t="n"/>
      <c r="Y31" s="263" t="inlineStr">
        <is>
          <t>MOTOR</t>
        </is>
      </c>
      <c r="Z31" s="263" t="n"/>
      <c r="AA31" s="263" t="inlineStr">
        <is>
          <t>MOV(GLOBE)</t>
        </is>
      </c>
      <c r="AB31" s="266" t="n"/>
      <c r="AC31" s="263" t="n"/>
      <c r="AD31" s="263" t="n"/>
      <c r="AE31" s="263" t="n"/>
      <c r="AF31" s="266" t="n"/>
      <c r="AG31" s="263" t="n"/>
      <c r="AH31" s="266" t="n"/>
      <c r="AI31" s="263" t="n"/>
      <c r="AJ31" s="263" t="n"/>
      <c r="AK31" s="263" t="n"/>
      <c r="AL31" s="263" t="n"/>
      <c r="AM31" s="263" t="inlineStr">
        <is>
          <t>판정축 ① · 귀속 HRSG#12 BD TANK</t>
        </is>
      </c>
    </row>
    <row r="32" ht="50.1" customFormat="1" customHeight="1" s="183">
      <c r="A32" s="263" t="n">
        <v>25</v>
      </c>
      <c r="B32" s="263" t="inlineStr">
        <is>
          <t>D00P-10LBC40-M05-0001</t>
        </is>
      </c>
      <c r="C32" s="263" t="n"/>
      <c r="D32" s="263" t="n">
        <v>2</v>
      </c>
      <c r="E32" s="266" t="inlineStr">
        <is>
          <t>P&amp;ID FOR CRH STEAM SYSTEM GROUP 10</t>
        </is>
      </c>
      <c r="F32" s="263" t="n"/>
      <c r="G32" s="263" t="n"/>
      <c r="H32" s="263" t="n"/>
      <c r="I32" s="263" t="n"/>
      <c r="J32" s="263" t="n"/>
      <c r="K32" s="263" t="n"/>
      <c r="L32" s="264" t="inlineStr">
        <is>
          <t>FROM AUX STEAM GLOBE VALVE</t>
        </is>
      </c>
      <c r="M32" s="263" t="n"/>
      <c r="N32" s="265" t="n"/>
      <c r="O32" s="265" t="n"/>
      <c r="P32" s="263" t="n"/>
      <c r="Q32" s="263" t="n"/>
      <c r="R32" s="263" t="n"/>
      <c r="S32" s="266" t="n"/>
      <c r="T32" s="267" t="n"/>
      <c r="U32" s="263" t="n"/>
      <c r="V32" s="267" t="n"/>
      <c r="W32" s="266" t="n"/>
      <c r="X32" s="263" t="n"/>
      <c r="Y32" s="263" t="inlineStr">
        <is>
          <t>MOTOR</t>
        </is>
      </c>
      <c r="Z32" s="263" t="n"/>
      <c r="AA32" s="263" t="inlineStr">
        <is>
          <t>MOV(GLOBE)</t>
        </is>
      </c>
      <c r="AB32" s="266" t="n"/>
      <c r="AC32" s="263" t="n"/>
      <c r="AD32" s="263" t="n"/>
      <c r="AE32" s="263" t="n"/>
      <c r="AF32" s="266" t="n"/>
      <c r="AG32" s="263" t="n"/>
      <c r="AH32" s="266" t="n"/>
      <c r="AI32" s="263" t="n"/>
      <c r="AJ32" s="263" t="n"/>
      <c r="AK32" s="263" t="n"/>
      <c r="AL32" s="263" t="n"/>
      <c r="AM32" s="263" t="inlineStr">
        <is>
          <t>[DESCRIPTION] 후보에서 골랐으나 근거가 약함 — 확인 필요 → 미처리</t>
        </is>
      </c>
    </row>
    <row r="33" ht="50.1" customFormat="1" customHeight="1" s="183">
      <c r="A33" s="263" t="n">
        <v>26</v>
      </c>
      <c r="B33" s="263" t="inlineStr">
        <is>
          <t>D00P-10LBC40-M05-0001</t>
        </is>
      </c>
      <c r="C33" s="263" t="n"/>
      <c r="D33" s="263" t="n">
        <v>2</v>
      </c>
      <c r="E33" s="263" t="inlineStr">
        <is>
          <t>P&amp;ID FOR CRH STEAM SYSTEM GROUP 10</t>
        </is>
      </c>
      <c r="F33" s="263" t="n"/>
      <c r="G33" s="263" t="n"/>
      <c r="H33" s="263" t="n"/>
      <c r="I33" s="263" t="n"/>
      <c r="J33" s="263" t="n"/>
      <c r="K33" s="263" t="n"/>
      <c r="L33" s="264" t="inlineStr">
        <is>
          <t>TO CONDENSER FLASH TANK GLOBE VALVE</t>
        </is>
      </c>
      <c r="M33" s="263" t="n"/>
      <c r="N33" s="263" t="n"/>
      <c r="O33" s="263" t="n"/>
      <c r="P33" s="263" t="n"/>
      <c r="Q33" s="263" t="n"/>
      <c r="R33" s="263" t="n"/>
      <c r="S33" s="266" t="n"/>
      <c r="T33" s="267" t="n"/>
      <c r="U33" s="263" t="n"/>
      <c r="V33" s="267" t="n"/>
      <c r="W33" s="266" t="n"/>
      <c r="X33" s="263" t="n"/>
      <c r="Y33" s="263" t="inlineStr">
        <is>
          <t>MOTOR</t>
        </is>
      </c>
      <c r="Z33" s="263" t="n"/>
      <c r="AA33" s="263" t="inlineStr">
        <is>
          <t>MOV(GLOBE)</t>
        </is>
      </c>
      <c r="AB33" s="266" t="n"/>
      <c r="AC33" s="263" t="n"/>
      <c r="AD33" s="263" t="n"/>
      <c r="AE33" s="263" t="n"/>
      <c r="AF33" s="266" t="n"/>
      <c r="AG33" s="263" t="n"/>
      <c r="AH33" s="266" t="n"/>
      <c r="AI33" s="263" t="n"/>
      <c r="AJ33" s="263" t="n"/>
      <c r="AK33" s="263" t="n"/>
      <c r="AL33" s="263" t="n"/>
      <c r="AM33" s="263" t="inlineStr">
        <is>
          <t>판정축 ②b · 귀속 →CONDENSER FLASH TANK</t>
        </is>
      </c>
    </row>
    <row r="34" ht="50.1" customFormat="1" customHeight="1" s="183">
      <c r="A34" s="263" t="n">
        <v>27</v>
      </c>
      <c r="B34" s="263" t="inlineStr">
        <is>
          <t>D00P-10LBC40-M05-0001</t>
        </is>
      </c>
      <c r="C34" s="263" t="n"/>
      <c r="D34" s="263" t="n">
        <v>2</v>
      </c>
      <c r="E34" s="263" t="inlineStr">
        <is>
          <t>P&amp;ID FOR CRH STEAM SYSTEM GROUP 10</t>
        </is>
      </c>
      <c r="F34" s="263" t="n"/>
      <c r="G34" s="263" t="n"/>
      <c r="H34" s="263" t="n"/>
      <c r="I34" s="263" t="n"/>
      <c r="J34" s="263" t="n"/>
      <c r="K34" s="263" t="n"/>
      <c r="L34" s="264" t="inlineStr">
        <is>
          <t>TO CLEAN DRAIN TANK GLOBE VALVE</t>
        </is>
      </c>
      <c r="M34" s="263" t="n"/>
      <c r="N34" s="263" t="n"/>
      <c r="O34" s="263" t="n"/>
      <c r="P34" s="263" t="n"/>
      <c r="Q34" s="263" t="n"/>
      <c r="R34" s="263" t="n"/>
      <c r="S34" s="266" t="n"/>
      <c r="T34" s="267" t="n"/>
      <c r="U34" s="263" t="n"/>
      <c r="V34" s="267" t="n"/>
      <c r="W34" s="266" t="n"/>
      <c r="X34" s="263" t="n"/>
      <c r="Y34" s="263" t="inlineStr">
        <is>
          <t>MOTOR</t>
        </is>
      </c>
      <c r="Z34" s="263" t="n"/>
      <c r="AA34" s="263" t="inlineStr">
        <is>
          <t>MOV(GLOBE)</t>
        </is>
      </c>
      <c r="AB34" s="266" t="n"/>
      <c r="AC34" s="263" t="n"/>
      <c r="AD34" s="263" t="n"/>
      <c r="AE34" s="263" t="n"/>
      <c r="AF34" s="266" t="n"/>
      <c r="AG34" s="263" t="n"/>
      <c r="AH34" s="266" t="n"/>
      <c r="AI34" s="263" t="n"/>
      <c r="AJ34" s="263" t="n"/>
      <c r="AK34" s="263" t="n"/>
      <c r="AL34" s="263" t="n"/>
      <c r="AM34" s="263" t="inlineStr">
        <is>
          <t>판정축 ②b · 귀속 →CLEAN DRAIN TANK</t>
        </is>
      </c>
    </row>
    <row r="35" ht="50.1" customFormat="1" customHeight="1" s="183">
      <c r="A35" s="263" t="n">
        <v>28</v>
      </c>
      <c r="B35" s="263" t="inlineStr">
        <is>
          <t>D00P-00GHC10-M05-0001</t>
        </is>
      </c>
      <c r="C35" s="263" t="n"/>
      <c r="D35" s="263" t="n">
        <v>1</v>
      </c>
      <c r="E35" s="263" t="inlineStr">
        <is>
          <t>P&amp;ID FOR DEMINERALIZED WATER DISTRIBUTION SYSTEM (1 OF 2)</t>
        </is>
      </c>
      <c r="F35" s="263" t="n"/>
      <c r="G35" s="263" t="n"/>
      <c r="H35" s="263" t="n"/>
      <c r="I35" s="263" t="n"/>
      <c r="J35" s="263" t="n"/>
      <c r="K35" s="263" t="n"/>
      <c r="L35" s="264" t="n"/>
      <c r="M35" s="263" t="n"/>
      <c r="N35" s="263" t="n"/>
      <c r="O35" s="263" t="n"/>
      <c r="P35" s="263" t="n"/>
      <c r="Q35" s="263" t="n"/>
      <c r="R35" s="263" t="n"/>
      <c r="S35" s="266" t="n"/>
      <c r="T35" s="267" t="n"/>
      <c r="U35" s="263" t="n"/>
      <c r="V35" s="267" t="n"/>
      <c r="W35" s="266" t="n"/>
      <c r="X35" s="263" t="n"/>
      <c r="Y35" s="263" t="inlineStr">
        <is>
          <t>MOTOR</t>
        </is>
      </c>
      <c r="Z35" s="263" t="n"/>
      <c r="AA35" s="263" t="inlineStr">
        <is>
          <t>MOV(GATE)</t>
        </is>
      </c>
      <c r="AB35" s="266" t="n"/>
      <c r="AC35" s="263" t="n"/>
      <c r="AD35" s="263" t="n"/>
      <c r="AE35" s="263" t="n"/>
      <c r="AF35" s="266" t="n"/>
      <c r="AG35" s="263" t="n"/>
      <c r="AH35" s="266" t="n"/>
      <c r="AI35" s="263" t="n"/>
      <c r="AJ35" s="263" t="n"/>
      <c r="AK35" s="263" t="n"/>
      <c r="AL35" s="263" t="n"/>
      <c r="AM35" s="263" t="inlineStr">
        <is>
          <t>[DESCRIPTION] 근거 없음 — 직접 입력 → 미처리</t>
        </is>
      </c>
    </row>
    <row r="36" ht="50.1" customFormat="1" customHeight="1" s="183">
      <c r="A36" s="263" t="n">
        <v>29</v>
      </c>
      <c r="B36" s="263" t="inlineStr">
        <is>
          <t>D00P-00GHC10-M05-0001</t>
        </is>
      </c>
      <c r="C36" s="263" t="n"/>
      <c r="D36" s="263" t="n">
        <v>1</v>
      </c>
      <c r="E36" s="263" t="inlineStr">
        <is>
          <t>P&amp;ID FOR DEMINERALIZED WATER DISTRIBUTION SYSTEM (1 OF 2)</t>
        </is>
      </c>
      <c r="F36" s="263" t="n"/>
      <c r="G36" s="263" t="n"/>
      <c r="H36" s="263" t="n"/>
      <c r="I36" s="263" t="n"/>
      <c r="J36" s="263" t="n"/>
      <c r="K36" s="263" t="n"/>
      <c r="L36" s="264" t="n"/>
      <c r="M36" s="263" t="n"/>
      <c r="N36" s="265" t="n"/>
      <c r="O36" s="265" t="n"/>
      <c r="P36" s="263" t="n"/>
      <c r="Q36" s="263" t="n"/>
      <c r="R36" s="263" t="n"/>
      <c r="S36" s="266" t="n"/>
      <c r="T36" s="267" t="n"/>
      <c r="U36" s="263" t="n"/>
      <c r="V36" s="267" t="n"/>
      <c r="W36" s="266" t="n"/>
      <c r="X36" s="263" t="n"/>
      <c r="Y36" s="263" t="inlineStr">
        <is>
          <t>MOTOR</t>
        </is>
      </c>
      <c r="Z36" s="263" t="n"/>
      <c r="AA36" s="263" t="inlineStr">
        <is>
          <t>GATE</t>
        </is>
      </c>
      <c r="AB36" s="263" t="n"/>
      <c r="AC36" s="263" t="n"/>
      <c r="AD36" s="263" t="n"/>
      <c r="AE36" s="263" t="n"/>
      <c r="AF36" s="266" t="n"/>
      <c r="AG36" s="263" t="n"/>
      <c r="AH36" s="266" t="n"/>
      <c r="AI36" s="263" t="n"/>
      <c r="AJ36" s="263" t="n"/>
      <c r="AK36" s="263" t="n"/>
      <c r="AL36" s="263" t="n"/>
      <c r="AM36" s="263" t="inlineStr">
        <is>
          <t>[DESCRIPTION] 근거 없음 — 직접 입력 → 미처리</t>
        </is>
      </c>
    </row>
    <row r="37" ht="50.1" customFormat="1" customHeight="1" s="183">
      <c r="A37" s="263" t="n">
        <v>30</v>
      </c>
      <c r="B37" s="263" t="inlineStr">
        <is>
          <t>D00P-00GHC10-M05-0001</t>
        </is>
      </c>
      <c r="C37" s="263" t="n"/>
      <c r="D37" s="263" t="n">
        <v>1</v>
      </c>
      <c r="E37" s="263" t="inlineStr">
        <is>
          <t>P&amp;ID FOR DESAL. WATER SUPPLY SYSTEM</t>
        </is>
      </c>
      <c r="F37" s="263" t="n"/>
      <c r="G37" s="263" t="n"/>
      <c r="H37" s="263" t="n"/>
      <c r="I37" s="263" t="n"/>
      <c r="J37" s="263" t="n"/>
      <c r="K37" s="263" t="n"/>
      <c r="L37" s="264" t="n"/>
      <c r="M37" s="263" t="n"/>
      <c r="N37" s="265" t="n"/>
      <c r="O37" s="265" t="n"/>
      <c r="P37" s="263" t="n"/>
      <c r="Q37" s="263" t="n"/>
      <c r="R37" s="263" t="n"/>
      <c r="S37" s="266" t="n"/>
      <c r="T37" s="267" t="n"/>
      <c r="U37" s="263" t="n"/>
      <c r="V37" s="267" t="n"/>
      <c r="W37" s="266" t="n"/>
      <c r="X37" s="263" t="n"/>
      <c r="Y37" s="263" t="inlineStr">
        <is>
          <t>MOTOR</t>
        </is>
      </c>
      <c r="Z37" s="263" t="n"/>
      <c r="AA37" s="263" t="inlineStr">
        <is>
          <t>MOV(GATE)</t>
        </is>
      </c>
      <c r="AB37" s="263" t="n"/>
      <c r="AC37" s="263" t="n"/>
      <c r="AD37" s="263" t="n"/>
      <c r="AE37" s="263" t="n"/>
      <c r="AF37" s="266" t="n"/>
      <c r="AG37" s="263" t="n"/>
      <c r="AH37" s="266" t="n"/>
      <c r="AI37" s="263" t="n"/>
      <c r="AJ37" s="263" t="n"/>
      <c r="AK37" s="263" t="n"/>
      <c r="AL37" s="263" t="n"/>
      <c r="AM37" s="263" t="inlineStr">
        <is>
          <t>[DESCRIPTION] 근거 없음 — 직접 입력 → 미처리</t>
        </is>
      </c>
    </row>
    <row r="38" ht="50.1" customFormat="1" customHeight="1" s="183">
      <c r="A38" s="263" t="n">
        <v>31</v>
      </c>
      <c r="B38" s="263" t="inlineStr">
        <is>
          <t>D00P-00GHC10-M05-0001</t>
        </is>
      </c>
      <c r="C38" s="263" t="n"/>
      <c r="D38" s="263" t="n">
        <v>1</v>
      </c>
      <c r="E38" s="263" t="inlineStr">
        <is>
          <t>P&amp;ID FOR DESAL. WATER SUPPLY SYSTEM</t>
        </is>
      </c>
      <c r="F38" s="263" t="n"/>
      <c r="G38" s="263" t="n"/>
      <c r="H38" s="263" t="n"/>
      <c r="I38" s="263" t="n"/>
      <c r="J38" s="263" t="n"/>
      <c r="K38" s="263" t="n"/>
      <c r="L38" s="264" t="n"/>
      <c r="M38" s="263" t="n"/>
      <c r="N38" s="265" t="n"/>
      <c r="O38" s="265" t="n"/>
      <c r="P38" s="263" t="n"/>
      <c r="Q38" s="263" t="n"/>
      <c r="R38" s="263" t="n"/>
      <c r="S38" s="266" t="n"/>
      <c r="T38" s="267" t="n"/>
      <c r="U38" s="263" t="n"/>
      <c r="V38" s="267" t="n"/>
      <c r="W38" s="266" t="n"/>
      <c r="X38" s="263" t="n"/>
      <c r="Y38" s="263" t="inlineStr">
        <is>
          <t>MOTOR</t>
        </is>
      </c>
      <c r="Z38" s="263" t="n"/>
      <c r="AA38" s="263" t="inlineStr">
        <is>
          <t>GATE</t>
        </is>
      </c>
      <c r="AB38" s="263" t="n"/>
      <c r="AC38" s="263" t="n"/>
      <c r="AD38" s="263" t="n"/>
      <c r="AE38" s="263" t="n"/>
      <c r="AF38" s="266" t="n"/>
      <c r="AG38" s="263" t="n"/>
      <c r="AH38" s="266" t="n"/>
      <c r="AI38" s="263" t="n"/>
      <c r="AJ38" s="263" t="n"/>
      <c r="AK38" s="263" t="n"/>
      <c r="AL38" s="263" t="n"/>
      <c r="AM38" s="263" t="inlineStr">
        <is>
          <t>[DESCRIPTION] 근거 없음 — 직접 입력 → 미처리</t>
        </is>
      </c>
    </row>
    <row r="39" ht="50.1" customFormat="1" customHeight="1" s="183">
      <c r="A39" s="263" t="n">
        <v>32</v>
      </c>
      <c r="B39" s="263" t="inlineStr">
        <is>
          <t>D00P-00EGD00-M05-0002</t>
        </is>
      </c>
      <c r="C39" s="263" t="n"/>
      <c r="D39" s="263" t="n">
        <v>1</v>
      </c>
      <c r="E39" s="263" t="inlineStr">
        <is>
          <t>P&amp;ID FOR FUEL OIL SUPPLY SYSTEM (2/2)</t>
        </is>
      </c>
      <c r="F39" s="263" t="n"/>
      <c r="G39" s="263" t="n"/>
      <c r="H39" s="263" t="n"/>
      <c r="I39" s="263" t="n"/>
      <c r="J39" s="263" t="n"/>
      <c r="K39" s="263" t="n"/>
      <c r="L39" s="264" t="inlineStr">
        <is>
          <t>FROM FUEL OIL UNLOADING TO FUEL OIL STORAGE TANK A GATE VALVE B</t>
        </is>
      </c>
      <c r="M39" s="263" t="n"/>
      <c r="N39" s="265" t="n"/>
      <c r="O39" s="265" t="n"/>
      <c r="P39" s="263" t="n"/>
      <c r="Q39" s="263" t="n"/>
      <c r="R39" s="263" t="n"/>
      <c r="S39" s="266" t="n"/>
      <c r="T39" s="267" t="n"/>
      <c r="U39" s="263" t="n"/>
      <c r="V39" s="267" t="n"/>
      <c r="W39" s="266" t="n"/>
      <c r="X39" s="263" t="n"/>
      <c r="Y39" s="263" t="inlineStr">
        <is>
          <t>MOTOR</t>
        </is>
      </c>
      <c r="Z39" s="263" t="n"/>
      <c r="AA39" s="263" t="inlineStr">
        <is>
          <t>GATE</t>
        </is>
      </c>
      <c r="AB39" s="263" t="n"/>
      <c r="AC39" s="263" t="n"/>
      <c r="AD39" s="263" t="n"/>
      <c r="AE39" s="263" t="n"/>
      <c r="AF39" s="266" t="n"/>
      <c r="AG39" s="263" t="n"/>
      <c r="AH39" s="266" t="n"/>
      <c r="AI39" s="263" t="n"/>
      <c r="AJ39" s="263" t="n"/>
      <c r="AK39" s="263" t="n"/>
      <c r="AL39" s="263" t="n"/>
      <c r="AM39" s="263" t="inlineStr">
        <is>
          <t>판정축 ② · 귀속 FUEL OIL UNLOADING→FUEL OIL STORAGE TANK A</t>
        </is>
      </c>
    </row>
    <row r="40" ht="50.1" customFormat="1" customHeight="1" s="183">
      <c r="A40" s="263" t="n">
        <v>33</v>
      </c>
      <c r="B40" s="263" t="inlineStr">
        <is>
          <t>D00P-00EGD00-M05-0002</t>
        </is>
      </c>
      <c r="C40" s="263" t="n"/>
      <c r="D40" s="263" t="n">
        <v>1</v>
      </c>
      <c r="E40" s="263" t="inlineStr">
        <is>
          <t>P&amp;ID FOR FUEL OIL SUPPLY SYSTEM (2/2)</t>
        </is>
      </c>
      <c r="F40" s="263" t="n"/>
      <c r="G40" s="263" t="n"/>
      <c r="H40" s="263" t="n"/>
      <c r="I40" s="263" t="n"/>
      <c r="J40" s="263" t="n"/>
      <c r="K40" s="263" t="n"/>
      <c r="L40" s="264" t="inlineStr">
        <is>
          <t>TO GT#12 GATE VALVE B</t>
        </is>
      </c>
      <c r="M40" s="263" t="n"/>
      <c r="N40" s="265" t="n"/>
      <c r="O40" s="265" t="n"/>
      <c r="P40" s="263" t="n"/>
      <c r="Q40" s="263" t="n"/>
      <c r="R40" s="263" t="n"/>
      <c r="S40" s="266" t="n"/>
      <c r="T40" s="267" t="n"/>
      <c r="U40" s="263" t="n"/>
      <c r="V40" s="267" t="n"/>
      <c r="W40" s="266" t="n"/>
      <c r="X40" s="263" t="n"/>
      <c r="Y40" s="263" t="inlineStr">
        <is>
          <t>MOTOR</t>
        </is>
      </c>
      <c r="Z40" s="263" t="n"/>
      <c r="AA40" s="263" t="inlineStr">
        <is>
          <t>GATE</t>
        </is>
      </c>
      <c r="AB40" s="263" t="n"/>
      <c r="AC40" s="263" t="n"/>
      <c r="AD40" s="263" t="n"/>
      <c r="AE40" s="263" t="n"/>
      <c r="AF40" s="266" t="n"/>
      <c r="AG40" s="263" t="n"/>
      <c r="AH40" s="266" t="n"/>
      <c r="AI40" s="263" t="n"/>
      <c r="AJ40" s="263" t="n"/>
      <c r="AK40" s="263" t="n"/>
      <c r="AL40" s="263" t="n"/>
      <c r="AM40" s="263" t="inlineStr">
        <is>
          <t>[DESCRIPTION] 후보에서 골랐으나 근거가 약함 — 확인 필요 → 미처리</t>
        </is>
      </c>
    </row>
    <row r="41" ht="50.1" customFormat="1" customHeight="1" s="183">
      <c r="A41" s="263" t="n">
        <v>34</v>
      </c>
      <c r="B41" s="263" t="inlineStr">
        <is>
          <t>D00P-00EGD00-M05-0002</t>
        </is>
      </c>
      <c r="C41" s="263" t="n"/>
      <c r="D41" s="263" t="n">
        <v>1</v>
      </c>
      <c r="E41" s="266" t="inlineStr">
        <is>
          <t>P&amp;ID FOR FUEL OIL SUPPLY SYSTEM (2/2)</t>
        </is>
      </c>
      <c r="F41" s="263" t="n"/>
      <c r="G41" s="263" t="n"/>
      <c r="H41" s="263" t="n"/>
      <c r="I41" s="263" t="n"/>
      <c r="J41" s="263" t="n"/>
      <c r="K41" s="263" t="n"/>
      <c r="L41" s="264" t="inlineStr">
        <is>
          <t>FROM FUEL OIL UNLOADING GATE VALVE</t>
        </is>
      </c>
      <c r="M41" s="263" t="n"/>
      <c r="N41" s="265" t="n"/>
      <c r="O41" s="265" t="n"/>
      <c r="P41" s="263" t="n"/>
      <c r="Q41" s="263" t="n"/>
      <c r="R41" s="263" t="n"/>
      <c r="S41" s="266" t="n"/>
      <c r="T41" s="267" t="n"/>
      <c r="U41" s="263" t="n"/>
      <c r="V41" s="267" t="n"/>
      <c r="W41" s="266" t="n"/>
      <c r="X41" s="263" t="n"/>
      <c r="Y41" s="263" t="inlineStr">
        <is>
          <t>MOTOR</t>
        </is>
      </c>
      <c r="Z41" s="263" t="n"/>
      <c r="AA41" s="263" t="inlineStr">
        <is>
          <t>GATE</t>
        </is>
      </c>
      <c r="AB41" s="263" t="n"/>
      <c r="AC41" s="263" t="n"/>
      <c r="AD41" s="263" t="n"/>
      <c r="AE41" s="263" t="n"/>
      <c r="AF41" s="266" t="n"/>
      <c r="AG41" s="263" t="n"/>
      <c r="AH41" s="266" t="n"/>
      <c r="AI41" s="263" t="n"/>
      <c r="AJ41" s="263" t="n"/>
      <c r="AK41" s="263" t="n"/>
      <c r="AL41" s="263" t="n"/>
      <c r="AM41" s="263" t="inlineStr">
        <is>
          <t>[DESCRIPTION] 후보에서 골랐으나 근거가 약함 — 확인 필요 → 미처리</t>
        </is>
      </c>
    </row>
    <row r="42" ht="50.1" customFormat="1" customHeight="1" s="183">
      <c r="A42" s="263" t="n">
        <v>35</v>
      </c>
      <c r="B42" s="263" t="inlineStr">
        <is>
          <t>D00P-00EGD00-M05-0002</t>
        </is>
      </c>
      <c r="C42" s="263" t="n"/>
      <c r="D42" s="263" t="n">
        <v>1</v>
      </c>
      <c r="E42" s="266" t="inlineStr">
        <is>
          <t>P&amp;ID FOR FUEL OIL SUPPLY SYSTEM (2/2)</t>
        </is>
      </c>
      <c r="F42" s="263" t="n"/>
      <c r="G42" s="263" t="n"/>
      <c r="H42" s="263" t="n"/>
      <c r="I42" s="263" t="n"/>
      <c r="J42" s="263" t="n"/>
      <c r="K42" s="263" t="n"/>
      <c r="L42" s="264" t="inlineStr">
        <is>
          <t>FROM FUEL OIL UNLOADING TO FUEL OIL STORAGE TANK A GATE VALVE A</t>
        </is>
      </c>
      <c r="M42" s="263" t="n"/>
      <c r="N42" s="265" t="n"/>
      <c r="O42" s="265" t="n"/>
      <c r="P42" s="263" t="n"/>
      <c r="Q42" s="263" t="n"/>
      <c r="R42" s="263" t="n"/>
      <c r="S42" s="266" t="n"/>
      <c r="T42" s="267" t="n"/>
      <c r="U42" s="263" t="n"/>
      <c r="V42" s="267" t="n"/>
      <c r="W42" s="266" t="n"/>
      <c r="X42" s="263" t="n"/>
      <c r="Y42" s="263" t="inlineStr">
        <is>
          <t>MOTOR</t>
        </is>
      </c>
      <c r="Z42" s="263" t="n"/>
      <c r="AA42" s="263" t="inlineStr">
        <is>
          <t>GATE</t>
        </is>
      </c>
      <c r="AB42" s="263" t="n"/>
      <c r="AC42" s="263" t="n"/>
      <c r="AD42" s="263" t="n"/>
      <c r="AE42" s="263" t="n"/>
      <c r="AF42" s="266" t="n"/>
      <c r="AG42" s="263" t="n"/>
      <c r="AH42" s="266" t="n"/>
      <c r="AI42" s="263" t="n"/>
      <c r="AJ42" s="263" t="n"/>
      <c r="AK42" s="263" t="n"/>
      <c r="AL42" s="263" t="n"/>
      <c r="AM42" s="263" t="inlineStr">
        <is>
          <t>판정축 ② · 귀속 FUEL OIL UNLOADING→FUEL OIL STORAGE TANK A</t>
        </is>
      </c>
    </row>
    <row r="43" ht="50.1" customFormat="1" customHeight="1" s="183">
      <c r="A43" s="263" t="n">
        <v>36</v>
      </c>
      <c r="B43" s="263" t="inlineStr">
        <is>
          <t>D00P-00EGD00-M05-0002</t>
        </is>
      </c>
      <c r="C43" s="263" t="n"/>
      <c r="D43" s="263" t="n">
        <v>1</v>
      </c>
      <c r="E43" s="266" t="inlineStr">
        <is>
          <t>P&amp;ID FOR FUEL OIL SUPPLY SYSTEM (2/2)</t>
        </is>
      </c>
      <c r="F43" s="263" t="n"/>
      <c r="G43" s="263" t="n"/>
      <c r="H43" s="263" t="n"/>
      <c r="I43" s="263" t="n"/>
      <c r="J43" s="263" t="n"/>
      <c r="K43" s="263" t="n"/>
      <c r="L43" s="264" t="n"/>
      <c r="M43" s="263" t="n"/>
      <c r="N43" s="265" t="n"/>
      <c r="O43" s="265" t="n"/>
      <c r="P43" s="263" t="n"/>
      <c r="Q43" s="263" t="n"/>
      <c r="R43" s="263" t="n"/>
      <c r="S43" s="266" t="n"/>
      <c r="T43" s="267" t="n"/>
      <c r="U43" s="263" t="n"/>
      <c r="V43" s="267" t="n"/>
      <c r="W43" s="266" t="n"/>
      <c r="X43" s="263" t="n"/>
      <c r="Y43" s="263" t="inlineStr">
        <is>
          <t>MOTOR</t>
        </is>
      </c>
      <c r="Z43" s="263" t="n"/>
      <c r="AA43" s="263" t="inlineStr">
        <is>
          <t>GATE</t>
        </is>
      </c>
      <c r="AB43" s="263" t="n"/>
      <c r="AC43" s="263" t="n"/>
      <c r="AD43" s="263" t="n"/>
      <c r="AE43" s="263" t="n"/>
      <c r="AF43" s="266" t="n"/>
      <c r="AG43" s="263" t="n"/>
      <c r="AH43" s="266" t="n"/>
      <c r="AI43" s="263" t="n"/>
      <c r="AJ43" s="263" t="n"/>
      <c r="AK43" s="263" t="n"/>
      <c r="AL43" s="263" t="n"/>
      <c r="AM43" s="263" t="inlineStr">
        <is>
          <t>[DESCRIPTION] 근거 없음 — 직접 입력 → 미처리</t>
        </is>
      </c>
    </row>
    <row r="44" ht="50.1" customFormat="1" customHeight="1" s="183">
      <c r="A44" s="263" t="n">
        <v>37</v>
      </c>
      <c r="B44" s="263" t="inlineStr">
        <is>
          <t>D00P-00EGD00-M05-0002</t>
        </is>
      </c>
      <c r="C44" s="263" t="n"/>
      <c r="D44" s="263" t="n">
        <v>1</v>
      </c>
      <c r="E44" s="266" t="inlineStr">
        <is>
          <t>P&amp;ID FOR FUEL OIL SUPPLY SYSTEM (2/2)</t>
        </is>
      </c>
      <c r="F44" s="263" t="n"/>
      <c r="G44" s="263" t="n"/>
      <c r="H44" s="263" t="n"/>
      <c r="I44" s="263" t="n"/>
      <c r="J44" s="263" t="n"/>
      <c r="K44" s="263" t="n"/>
      <c r="L44" s="264" t="n"/>
      <c r="M44" s="263" t="n"/>
      <c r="N44" s="265" t="n"/>
      <c r="O44" s="265" t="n"/>
      <c r="P44" s="263" t="n"/>
      <c r="Q44" s="263" t="n"/>
      <c r="R44" s="263" t="n"/>
      <c r="S44" s="266" t="n"/>
      <c r="T44" s="267" t="n"/>
      <c r="U44" s="263" t="n"/>
      <c r="V44" s="267" t="n"/>
      <c r="W44" s="266" t="n"/>
      <c r="X44" s="263" t="n"/>
      <c r="Y44" s="263" t="inlineStr">
        <is>
          <t>MOTOR</t>
        </is>
      </c>
      <c r="Z44" s="263" t="n"/>
      <c r="AA44" s="263" t="inlineStr">
        <is>
          <t>GATE</t>
        </is>
      </c>
      <c r="AB44" s="263" t="n"/>
      <c r="AC44" s="263" t="n"/>
      <c r="AD44" s="263" t="n"/>
      <c r="AE44" s="263" t="n"/>
      <c r="AF44" s="266" t="n"/>
      <c r="AG44" s="263" t="n"/>
      <c r="AH44" s="266" t="n"/>
      <c r="AI44" s="263" t="n"/>
      <c r="AJ44" s="263" t="n"/>
      <c r="AK44" s="263" t="n"/>
      <c r="AL44" s="263" t="n"/>
      <c r="AM44" s="263" t="inlineStr">
        <is>
          <t>[DESCRIPTION] 근거 없음 — 직접 입력 → 미처리</t>
        </is>
      </c>
    </row>
    <row r="45" ht="50.1" customFormat="1" customHeight="1" s="183">
      <c r="A45" s="263" t="n">
        <v>38</v>
      </c>
      <c r="B45" s="263" t="inlineStr">
        <is>
          <t>D00P-00EGD00-M05-0002</t>
        </is>
      </c>
      <c r="C45" s="263" t="n"/>
      <c r="D45" s="263" t="n">
        <v>1</v>
      </c>
      <c r="E45" s="263" t="inlineStr">
        <is>
          <t>P&amp;ID FOR FUEL OIL SUPPLY SYSTEM (2/2)</t>
        </is>
      </c>
      <c r="F45" s="263" t="n"/>
      <c r="G45" s="263" t="n"/>
      <c r="H45" s="263" t="n"/>
      <c r="I45" s="263" t="n"/>
      <c r="J45" s="263" t="n"/>
      <c r="K45" s="263" t="n"/>
      <c r="L45" s="264" t="n"/>
      <c r="M45" s="263" t="n"/>
      <c r="N45" s="265" t="n"/>
      <c r="O45" s="265" t="n"/>
      <c r="P45" s="263" t="n"/>
      <c r="Q45" s="263" t="n"/>
      <c r="R45" s="263" t="n"/>
      <c r="S45" s="266" t="n"/>
      <c r="T45" s="267" t="n"/>
      <c r="U45" s="263" t="n"/>
      <c r="V45" s="267" t="n"/>
      <c r="W45" s="266" t="n"/>
      <c r="X45" s="263" t="n"/>
      <c r="Y45" s="263" t="inlineStr">
        <is>
          <t>MOTOR</t>
        </is>
      </c>
      <c r="Z45" s="263" t="n"/>
      <c r="AA45" s="263" t="inlineStr">
        <is>
          <t>GATE</t>
        </is>
      </c>
      <c r="AB45" s="263" t="n"/>
      <c r="AC45" s="263" t="n"/>
      <c r="AD45" s="263" t="n"/>
      <c r="AE45" s="263" t="n"/>
      <c r="AF45" s="266" t="n"/>
      <c r="AG45" s="263" t="n"/>
      <c r="AH45" s="266" t="n"/>
      <c r="AI45" s="263" t="n"/>
      <c r="AJ45" s="263" t="n"/>
      <c r="AK45" s="263" t="n"/>
      <c r="AL45" s="263" t="n"/>
      <c r="AM45" s="266" t="inlineStr">
        <is>
          <t>[DESCRIPTION] 근거 없음 — 직접 입력 → 미처리</t>
        </is>
      </c>
    </row>
    <row r="46" ht="50.1" customFormat="1" customHeight="1" s="183">
      <c r="A46" s="263" t="n">
        <v>39</v>
      </c>
      <c r="B46" s="263" t="inlineStr">
        <is>
          <t>D00P-00EGD00-M05-0002</t>
        </is>
      </c>
      <c r="C46" s="263" t="n"/>
      <c r="D46" s="263" t="n">
        <v>1</v>
      </c>
      <c r="E46" s="263" t="inlineStr">
        <is>
          <t>P&amp;ID FOR FUEL OIL SUPPLY SYSTEM (2/2)</t>
        </is>
      </c>
      <c r="F46" s="263" t="n"/>
      <c r="G46" s="263" t="n"/>
      <c r="H46" s="263" t="n"/>
      <c r="I46" s="263" t="n"/>
      <c r="J46" s="263" t="n"/>
      <c r="K46" s="263" t="n"/>
      <c r="L46" s="264" t="inlineStr">
        <is>
          <t>GT#11 RETURN LINE DISCHARGE GATE VALVE A</t>
        </is>
      </c>
      <c r="M46" s="263" t="n"/>
      <c r="N46" s="265" t="n"/>
      <c r="O46" s="265" t="n"/>
      <c r="P46" s="263" t="n"/>
      <c r="Q46" s="263" t="n"/>
      <c r="R46" s="263" t="n"/>
      <c r="S46" s="266" t="n"/>
      <c r="T46" s="267" t="n"/>
      <c r="U46" s="263" t="n"/>
      <c r="V46" s="267" t="n"/>
      <c r="W46" s="266" t="n"/>
      <c r="X46" s="263" t="n"/>
      <c r="Y46" s="263" t="inlineStr">
        <is>
          <t>MOTOR</t>
        </is>
      </c>
      <c r="Z46" s="263" t="n"/>
      <c r="AA46" s="263" t="inlineStr">
        <is>
          <t>GATE</t>
        </is>
      </c>
      <c r="AB46" s="263" t="n"/>
      <c r="AC46" s="263" t="n"/>
      <c r="AD46" s="266" t="n"/>
      <c r="AE46" s="263" t="n"/>
      <c r="AF46" s="266" t="n"/>
      <c r="AG46" s="263" t="n"/>
      <c r="AH46" s="266" t="n"/>
      <c r="AI46" s="263" t="n"/>
      <c r="AJ46" s="263" t="n"/>
      <c r="AK46" s="263" t="n"/>
      <c r="AL46" s="263" t="n"/>
      <c r="AM46" s="266" t="inlineStr">
        <is>
          <t>판정축 ③ · 귀속 GT#11 RETURN LINE→(다분기)</t>
        </is>
      </c>
    </row>
    <row r="47" ht="50.1" customFormat="1" customHeight="1" s="183">
      <c r="A47" s="263" t="n">
        <v>40</v>
      </c>
      <c r="B47" s="263" t="inlineStr">
        <is>
          <t>D00P-00EGD00-M05-0002</t>
        </is>
      </c>
      <c r="C47" s="263" t="n"/>
      <c r="D47" s="263" t="n">
        <v>1</v>
      </c>
      <c r="E47" s="263" t="inlineStr">
        <is>
          <t>P&amp;ID FOR FUEL OIL SUPPLY SYSTEM (2/2)</t>
        </is>
      </c>
      <c r="F47" s="263" t="n"/>
      <c r="G47" s="263" t="n"/>
      <c r="H47" s="263" t="n"/>
      <c r="I47" s="263" t="n"/>
      <c r="J47" s="263" t="n"/>
      <c r="K47" s="263" t="n"/>
      <c r="L47" s="264" t="inlineStr">
        <is>
          <t>TO GT#12 GATE VALVE A</t>
        </is>
      </c>
      <c r="M47" s="263" t="n"/>
      <c r="N47" s="265" t="n"/>
      <c r="O47" s="265" t="n"/>
      <c r="P47" s="263" t="n"/>
      <c r="Q47" s="263" t="n"/>
      <c r="R47" s="263" t="n"/>
      <c r="S47" s="266" t="n"/>
      <c r="T47" s="267" t="n"/>
      <c r="U47" s="263" t="n"/>
      <c r="V47" s="267" t="n"/>
      <c r="W47" s="266" t="n"/>
      <c r="X47" s="263" t="n"/>
      <c r="Y47" s="263" t="inlineStr">
        <is>
          <t>MOTOR</t>
        </is>
      </c>
      <c r="Z47" s="263" t="n"/>
      <c r="AA47" s="263" t="inlineStr">
        <is>
          <t>GATE</t>
        </is>
      </c>
      <c r="AB47" s="263" t="n"/>
      <c r="AC47" s="263" t="n"/>
      <c r="AD47" s="266" t="n"/>
      <c r="AE47" s="263" t="n"/>
      <c r="AF47" s="266" t="n"/>
      <c r="AG47" s="263" t="n"/>
      <c r="AH47" s="266" t="n"/>
      <c r="AI47" s="263" t="n"/>
      <c r="AJ47" s="263" t="n"/>
      <c r="AK47" s="263" t="n"/>
      <c r="AL47" s="263" t="n"/>
      <c r="AM47" s="266" t="inlineStr">
        <is>
          <t>[DESCRIPTION] 후보에서 골랐으나 근거가 약함 — 확인 필요 → 미처리</t>
        </is>
      </c>
    </row>
    <row r="48" ht="50.1" customFormat="1" customHeight="1" s="183">
      <c r="A48" s="263" t="n">
        <v>41</v>
      </c>
      <c r="B48" s="263" t="inlineStr">
        <is>
          <t>D00P-00EGD00-M05-0002</t>
        </is>
      </c>
      <c r="C48" s="263" t="n"/>
      <c r="D48" s="263" t="n">
        <v>1</v>
      </c>
      <c r="E48" s="266" t="inlineStr">
        <is>
          <t>P&amp;ID FOR FUEL OIL SUPPLY SYSTEM (2/2)</t>
        </is>
      </c>
      <c r="F48" s="263" t="n"/>
      <c r="G48" s="263" t="n"/>
      <c r="H48" s="263" t="n"/>
      <c r="I48" s="263" t="n"/>
      <c r="J48" s="263" t="n"/>
      <c r="K48" s="263" t="n"/>
      <c r="L48" s="264" t="n"/>
      <c r="M48" s="263" t="n"/>
      <c r="N48" s="265" t="n"/>
      <c r="O48" s="265" t="n"/>
      <c r="P48" s="263" t="n"/>
      <c r="Q48" s="263" t="n"/>
      <c r="R48" s="263" t="n"/>
      <c r="S48" s="266" t="n"/>
      <c r="T48" s="267" t="n"/>
      <c r="U48" s="263" t="n"/>
      <c r="V48" s="267" t="n"/>
      <c r="W48" s="266" t="n"/>
      <c r="X48" s="263" t="n"/>
      <c r="Y48" s="263" t="inlineStr">
        <is>
          <t>MOTOR</t>
        </is>
      </c>
      <c r="Z48" s="263" t="n"/>
      <c r="AA48" s="266" t="inlineStr">
        <is>
          <t>GATE</t>
        </is>
      </c>
      <c r="AB48" s="266" t="n"/>
      <c r="AC48" s="263" t="n"/>
      <c r="AD48" s="263" t="n"/>
      <c r="AE48" s="263" t="n"/>
      <c r="AF48" s="266" t="n"/>
      <c r="AG48" s="263" t="n"/>
      <c r="AH48" s="266" t="n"/>
      <c r="AI48" s="263" t="n"/>
      <c r="AJ48" s="263" t="n"/>
      <c r="AK48" s="263" t="n"/>
      <c r="AL48" s="263" t="n"/>
      <c r="AM48" s="266" t="inlineStr">
        <is>
          <t>[DESCRIPTION] 근거 없음 — 직접 입력 → 미처리</t>
        </is>
      </c>
    </row>
    <row r="49" ht="50.1" customFormat="1" customHeight="1" s="183">
      <c r="A49" s="263" t="n">
        <v>42</v>
      </c>
      <c r="B49" s="263" t="inlineStr">
        <is>
          <t>D00P-00EGD00-M05-0002</t>
        </is>
      </c>
      <c r="C49" s="263" t="n"/>
      <c r="D49" s="263" t="n">
        <v>1</v>
      </c>
      <c r="E49" s="266" t="inlineStr">
        <is>
          <t>P&amp;ID FOR FUEL OIL SUPPLY SYSTEM (2/2)</t>
        </is>
      </c>
      <c r="F49" s="263" t="n"/>
      <c r="G49" s="263" t="n"/>
      <c r="H49" s="263" t="n"/>
      <c r="I49" s="263" t="n"/>
      <c r="J49" s="263" t="n"/>
      <c r="K49" s="263" t="n"/>
      <c r="L49" s="264" t="inlineStr">
        <is>
          <t>GT#11 RETURN LINE DISCHARGE GATE VALVE B</t>
        </is>
      </c>
      <c r="M49" s="263" t="n"/>
      <c r="N49" s="265" t="n"/>
      <c r="O49" s="265" t="n"/>
      <c r="P49" s="263" t="n"/>
      <c r="Q49" s="263" t="n"/>
      <c r="R49" s="263" t="n"/>
      <c r="S49" s="266" t="n"/>
      <c r="T49" s="267" t="n"/>
      <c r="U49" s="263" t="n"/>
      <c r="V49" s="267" t="n"/>
      <c r="W49" s="266" t="n"/>
      <c r="X49" s="263" t="n"/>
      <c r="Y49" s="263" t="inlineStr">
        <is>
          <t>MOTOR</t>
        </is>
      </c>
      <c r="Z49" s="263" t="n"/>
      <c r="AA49" s="266" t="inlineStr">
        <is>
          <t>GATE</t>
        </is>
      </c>
      <c r="AB49" s="266" t="n"/>
      <c r="AC49" s="263" t="n"/>
      <c r="AD49" s="263" t="n"/>
      <c r="AE49" s="263" t="n"/>
      <c r="AF49" s="266" t="n"/>
      <c r="AG49" s="263" t="n"/>
      <c r="AH49" s="266" t="n"/>
      <c r="AI49" s="263" t="n"/>
      <c r="AJ49" s="263" t="n"/>
      <c r="AK49" s="263" t="n"/>
      <c r="AL49" s="263" t="n"/>
      <c r="AM49" s="266" t="inlineStr">
        <is>
          <t>판정축 ③ · 귀속 GT#11 RETURN LINE→(다분기)</t>
        </is>
      </c>
    </row>
    <row r="50" ht="50.1" customFormat="1" customHeight="1" s="183">
      <c r="A50" s="263" t="n">
        <v>43</v>
      </c>
      <c r="B50" s="263" t="inlineStr">
        <is>
          <t>D00P-00EGD00-M05-0002</t>
        </is>
      </c>
      <c r="C50" s="263" t="n"/>
      <c r="D50" s="263" t="n">
        <v>1</v>
      </c>
      <c r="E50" s="266" t="inlineStr">
        <is>
          <t>P&amp;ID FOR FUEL OIL SUPPLY SYSTEM (2/2)</t>
        </is>
      </c>
      <c r="F50" s="263" t="n"/>
      <c r="G50" s="263" t="n"/>
      <c r="H50" s="263" t="n"/>
      <c r="I50" s="263" t="n"/>
      <c r="J50" s="263" t="n"/>
      <c r="K50" s="263" t="n"/>
      <c r="L50" s="264" t="inlineStr">
        <is>
          <t>TO WASTE OIL TANK GATE VALVE</t>
        </is>
      </c>
      <c r="M50" s="263" t="n"/>
      <c r="N50" s="265" t="n"/>
      <c r="O50" s="265" t="n"/>
      <c r="P50" s="263" t="n"/>
      <c r="Q50" s="263" t="n"/>
      <c r="R50" s="263" t="n"/>
      <c r="S50" s="266" t="n"/>
      <c r="T50" s="267" t="n"/>
      <c r="U50" s="263" t="n"/>
      <c r="V50" s="267" t="n"/>
      <c r="W50" s="266" t="n"/>
      <c r="X50" s="263" t="n"/>
      <c r="Y50" s="263" t="inlineStr">
        <is>
          <t>MOTOR</t>
        </is>
      </c>
      <c r="Z50" s="263" t="n"/>
      <c r="AA50" s="266" t="inlineStr">
        <is>
          <t>GATE</t>
        </is>
      </c>
      <c r="AB50" s="266" t="n"/>
      <c r="AC50" s="263" t="n"/>
      <c r="AD50" s="263" t="n"/>
      <c r="AE50" s="263" t="n"/>
      <c r="AF50" s="266" t="n"/>
      <c r="AG50" s="263" t="n"/>
      <c r="AH50" s="266" t="n"/>
      <c r="AI50" s="263" t="n"/>
      <c r="AJ50" s="263" t="n"/>
      <c r="AK50" s="263" t="n"/>
      <c r="AL50" s="263" t="n"/>
      <c r="AM50" s="266" t="inlineStr">
        <is>
          <t>[DESCRIPTION] 후보에서 골랐으나 근거가 약함 — 확인 필요 → 미처리</t>
        </is>
      </c>
    </row>
    <row r="51" ht="50.1" customFormat="1" customHeight="1" s="183">
      <c r="A51" s="263" t="n">
        <v>44</v>
      </c>
      <c r="B51" s="263" t="inlineStr">
        <is>
          <t>D00P-11EKG10-M05-0001</t>
        </is>
      </c>
      <c r="C51" s="263" t="n"/>
      <c r="D51" s="263" t="n">
        <v>4</v>
      </c>
      <c r="E51" s="266" t="inlineStr">
        <is>
          <t>P&amp;ID FOR GT FUEL GAS SUPPLY SYSTEM</t>
        </is>
      </c>
      <c r="F51" s="263" t="n"/>
      <c r="G51" s="263" t="n"/>
      <c r="H51" s="263" t="n"/>
      <c r="I51" s="263" t="n"/>
      <c r="J51" s="263" t="n"/>
      <c r="K51" s="263" t="n"/>
      <c r="L51" s="264" t="inlineStr">
        <is>
          <t>GT FUEL GAS TEMPERATURE CONTROL VALVE BALL VALVE B</t>
        </is>
      </c>
      <c r="M51" s="263" t="n"/>
      <c r="N51" s="265" t="n"/>
      <c r="O51" s="265" t="n"/>
      <c r="P51" s="263" t="n"/>
      <c r="Q51" s="263" t="n"/>
      <c r="R51" s="263" t="n"/>
      <c r="S51" s="266" t="n"/>
      <c r="T51" s="267" t="n"/>
      <c r="U51" s="263" t="n"/>
      <c r="V51" s="267" t="n"/>
      <c r="W51" s="266" t="n"/>
      <c r="X51" s="263" t="n"/>
      <c r="Y51" s="263" t="inlineStr">
        <is>
          <t>MOTOR</t>
        </is>
      </c>
      <c r="Z51" s="263" t="n"/>
      <c r="AA51" s="266" t="inlineStr">
        <is>
          <t>BALL</t>
        </is>
      </c>
      <c r="AB51" s="266" t="n"/>
      <c r="AC51" s="263" t="n"/>
      <c r="AD51" s="263" t="n"/>
      <c r="AE51" s="263" t="n"/>
      <c r="AF51" s="266" t="n"/>
      <c r="AG51" s="263" t="n"/>
      <c r="AH51" s="266" t="n"/>
      <c r="AI51" s="263" t="n"/>
      <c r="AJ51" s="263" t="n"/>
      <c r="AK51" s="263" t="n"/>
      <c r="AL51" s="263" t="n"/>
      <c r="AM51" s="266" t="inlineStr">
        <is>
          <t>판정축 ① · 귀속 GT FUEL GAS TEMPERATURE CONTROL VALVE</t>
        </is>
      </c>
    </row>
    <row r="52" ht="50.1" customFormat="1" customHeight="1" s="183">
      <c r="A52" s="263" t="n">
        <v>45</v>
      </c>
      <c r="B52" s="263" t="inlineStr">
        <is>
          <t>D00P-11EKG10-M05-0001</t>
        </is>
      </c>
      <c r="C52" s="263" t="n"/>
      <c r="D52" s="263" t="n">
        <v>4</v>
      </c>
      <c r="E52" s="266" t="inlineStr">
        <is>
          <t>P&amp;ID FOR GT FUEL GAS SUPPLY SYSTEM</t>
        </is>
      </c>
      <c r="F52" s="263" t="n"/>
      <c r="G52" s="263" t="n"/>
      <c r="H52" s="263" t="n"/>
      <c r="I52" s="263" t="n"/>
      <c r="J52" s="263" t="n"/>
      <c r="K52" s="263" t="n"/>
      <c r="L52" s="264" t="inlineStr">
        <is>
          <t>FUEL GAS HEATER A BALL VALVE B</t>
        </is>
      </c>
      <c r="M52" s="263" t="n"/>
      <c r="N52" s="265" t="n"/>
      <c r="O52" s="265" t="n"/>
      <c r="P52" s="263" t="n"/>
      <c r="Q52" s="263" t="n"/>
      <c r="R52" s="263" t="n"/>
      <c r="S52" s="266" t="n"/>
      <c r="T52" s="267" t="n"/>
      <c r="U52" s="263" t="n"/>
      <c r="V52" s="267" t="n"/>
      <c r="W52" s="266" t="n"/>
      <c r="X52" s="263" t="n"/>
      <c r="Y52" s="263" t="inlineStr">
        <is>
          <t>MOTOR</t>
        </is>
      </c>
      <c r="Z52" s="263" t="n"/>
      <c r="AA52" s="266" t="inlineStr">
        <is>
          <t>BALL</t>
        </is>
      </c>
      <c r="AB52" s="266" t="n"/>
      <c r="AC52" s="263" t="n"/>
      <c r="AD52" s="263" t="n"/>
      <c r="AE52" s="266" t="n"/>
      <c r="AF52" s="266" t="n"/>
      <c r="AG52" s="263" t="n"/>
      <c r="AH52" s="266" t="n"/>
      <c r="AI52" s="263" t="n"/>
      <c r="AJ52" s="263" t="n"/>
      <c r="AK52" s="263" t="n"/>
      <c r="AL52" s="263" t="n"/>
      <c r="AM52" s="263" t="inlineStr">
        <is>
          <t>판정축 ① · 귀속 FUEL GAS HEATER A</t>
        </is>
      </c>
    </row>
    <row r="53" ht="50.1" customFormat="1" customHeight="1" s="183">
      <c r="A53" s="263" t="n">
        <v>46</v>
      </c>
      <c r="B53" s="263" t="inlineStr">
        <is>
          <t>D00P-11EKG10-M05-0001</t>
        </is>
      </c>
      <c r="C53" s="263" t="n"/>
      <c r="D53" s="263" t="n">
        <v>4</v>
      </c>
      <c r="E53" s="266" t="inlineStr">
        <is>
          <t>P&amp;ID FOR GT FUEL GAS SUPPLY SYSTEM</t>
        </is>
      </c>
      <c r="F53" s="263" t="n"/>
      <c r="G53" s="263" t="n"/>
      <c r="H53" s="263" t="n"/>
      <c r="I53" s="263" t="n"/>
      <c r="J53" s="263" t="n"/>
      <c r="K53" s="263" t="n"/>
      <c r="L53" s="264" t="inlineStr">
        <is>
          <t>GT FUEL GAS TEMPERATURE CONTROL VALVE BALL VALVE A</t>
        </is>
      </c>
      <c r="M53" s="263" t="n"/>
      <c r="N53" s="268" t="n"/>
      <c r="O53" s="269" t="n"/>
      <c r="P53" s="263" t="n"/>
      <c r="Q53" s="263" t="n"/>
      <c r="R53" s="263" t="n"/>
      <c r="S53" s="266" t="n"/>
      <c r="T53" s="267" t="n"/>
      <c r="U53" s="263" t="n"/>
      <c r="V53" s="267" t="n"/>
      <c r="W53" s="266" t="n"/>
      <c r="X53" s="263" t="n"/>
      <c r="Y53" s="263" t="inlineStr">
        <is>
          <t>MOTOR</t>
        </is>
      </c>
      <c r="Z53" s="263" t="n"/>
      <c r="AA53" s="266" t="inlineStr">
        <is>
          <t>BALL</t>
        </is>
      </c>
      <c r="AB53" s="266" t="n"/>
      <c r="AC53" s="263" t="n"/>
      <c r="AD53" s="263" t="n"/>
      <c r="AE53" s="266" t="n"/>
      <c r="AF53" s="266" t="n"/>
      <c r="AG53" s="263" t="n"/>
      <c r="AH53" s="266" t="n"/>
      <c r="AI53" s="263" t="n"/>
      <c r="AJ53" s="263" t="n"/>
      <c r="AK53" s="263" t="n"/>
      <c r="AL53" s="263" t="n"/>
      <c r="AM53" s="263" t="inlineStr">
        <is>
          <t>판정축 ① · 귀속 GT FUEL GAS TEMPERATURE CONTROL VALVE</t>
        </is>
      </c>
    </row>
    <row r="54" ht="50.1" customFormat="1" customHeight="1" s="183">
      <c r="A54" s="263" t="n">
        <v>47</v>
      </c>
      <c r="B54" s="263" t="inlineStr">
        <is>
          <t>D00P-11EKG10-M05-0001</t>
        </is>
      </c>
      <c r="C54" s="263" t="n"/>
      <c r="D54" s="263" t="n">
        <v>4</v>
      </c>
      <c r="E54" s="266" t="inlineStr">
        <is>
          <t>P&amp;ID FOR GT FUEL GAS SUPPLY SYSTEM</t>
        </is>
      </c>
      <c r="F54" s="263" t="n"/>
      <c r="G54" s="263" t="n"/>
      <c r="H54" s="263" t="n"/>
      <c r="I54" s="263" t="n"/>
      <c r="J54" s="263" t="n"/>
      <c r="K54" s="263" t="n"/>
      <c r="L54" s="264" t="inlineStr">
        <is>
          <t>GT FUEL GAS TCV BALL VALVE</t>
        </is>
      </c>
      <c r="M54" s="263" t="n"/>
      <c r="N54" s="265" t="n"/>
      <c r="O54" s="265" t="n"/>
      <c r="P54" s="263" t="n"/>
      <c r="Q54" s="263" t="n"/>
      <c r="R54" s="263" t="n"/>
      <c r="S54" s="266" t="n"/>
      <c r="T54" s="267" t="n"/>
      <c r="U54" s="263" t="n"/>
      <c r="V54" s="267" t="n"/>
      <c r="W54" s="266" t="n"/>
      <c r="X54" s="263" t="n"/>
      <c r="Y54" s="263" t="inlineStr">
        <is>
          <t>MOTOR</t>
        </is>
      </c>
      <c r="Z54" s="263" t="n"/>
      <c r="AA54" s="266" t="inlineStr">
        <is>
          <t>BALL</t>
        </is>
      </c>
      <c r="AB54" s="266" t="n"/>
      <c r="AC54" s="263" t="n"/>
      <c r="AD54" s="263" t="n"/>
      <c r="AE54" s="266" t="n"/>
      <c r="AF54" s="266" t="n"/>
      <c r="AG54" s="263" t="n"/>
      <c r="AH54" s="266" t="n"/>
      <c r="AI54" s="263" t="n"/>
      <c r="AJ54" s="263" t="n"/>
      <c r="AK54" s="263" t="n"/>
      <c r="AL54" s="263" t="n"/>
      <c r="AM54" s="263" t="inlineStr">
        <is>
          <t>판정축 ① · 귀속 GT FUEL GAS TCV</t>
        </is>
      </c>
    </row>
    <row r="55" ht="50.1" customFormat="1" customHeight="1" s="183">
      <c r="A55" s="263" t="n">
        <v>48</v>
      </c>
      <c r="B55" s="263" t="inlineStr">
        <is>
          <t>D00P-10LBA10-M05-0001</t>
        </is>
      </c>
      <c r="C55" s="263" t="n"/>
      <c r="D55" s="263" t="n">
        <v>2</v>
      </c>
      <c r="E55" s="266" t="inlineStr">
        <is>
          <t>P&amp;ID FOR HP STEAM SYSTEM GROUP 10</t>
        </is>
      </c>
      <c r="F55" s="263" t="n"/>
      <c r="G55" s="263" t="n"/>
      <c r="H55" s="263" t="n"/>
      <c r="I55" s="263" t="n"/>
      <c r="J55" s="263" t="n"/>
      <c r="K55" s="263" t="n"/>
      <c r="L55" s="264" t="inlineStr">
        <is>
          <t>TO HRSG#12 BD TANK GLOBE VALVE</t>
        </is>
      </c>
      <c r="M55" s="263" t="n"/>
      <c r="N55" s="265" t="n"/>
      <c r="O55" s="265" t="n"/>
      <c r="P55" s="263" t="n"/>
      <c r="Q55" s="263" t="n"/>
      <c r="R55" s="263" t="n"/>
      <c r="S55" s="266" t="n"/>
      <c r="T55" s="267" t="n"/>
      <c r="U55" s="263" t="n"/>
      <c r="V55" s="267" t="n"/>
      <c r="W55" s="266" t="n"/>
      <c r="X55" s="263" t="n"/>
      <c r="Y55" s="263" t="inlineStr">
        <is>
          <t>MOTOR</t>
        </is>
      </c>
      <c r="Z55" s="263" t="n"/>
      <c r="AA55" s="266" t="inlineStr">
        <is>
          <t>MOV(GLOBE)</t>
        </is>
      </c>
      <c r="AB55" s="266" t="n"/>
      <c r="AC55" s="263" t="n"/>
      <c r="AD55" s="263" t="n"/>
      <c r="AE55" s="266" t="n"/>
      <c r="AF55" s="266" t="n"/>
      <c r="AG55" s="263" t="n"/>
      <c r="AH55" s="266" t="n"/>
      <c r="AI55" s="263" t="n"/>
      <c r="AJ55" s="263" t="n"/>
      <c r="AK55" s="263" t="n"/>
      <c r="AL55" s="263" t="n"/>
      <c r="AM55" s="263" t="inlineStr">
        <is>
          <t>판정축 ②b · 귀속 →HRSG#12 BD TANK</t>
        </is>
      </c>
    </row>
    <row r="56" ht="50.1" customFormat="1" customHeight="1" s="183">
      <c r="A56" s="263" t="n">
        <v>49</v>
      </c>
      <c r="B56" s="263" t="inlineStr">
        <is>
          <t>D00P-10LBA10-M05-0001</t>
        </is>
      </c>
      <c r="C56" s="263" t="n"/>
      <c r="D56" s="263" t="n">
        <v>2</v>
      </c>
      <c r="E56" s="266" t="inlineStr">
        <is>
          <t>P&amp;ID FOR HP STEAM SYSTEM GROUP 10</t>
        </is>
      </c>
      <c r="F56" s="263" t="n"/>
      <c r="G56" s="263" t="n"/>
      <c r="H56" s="263" t="n"/>
      <c r="I56" s="263" t="n"/>
      <c r="J56" s="263" t="n"/>
      <c r="K56" s="263" t="n"/>
      <c r="L56" s="264" t="inlineStr">
        <is>
          <t>FROM HRSG#12 GATE VALVE</t>
        </is>
      </c>
      <c r="M56" s="263" t="n"/>
      <c r="N56" s="265" t="n"/>
      <c r="O56" s="265" t="n"/>
      <c r="P56" s="263" t="n"/>
      <c r="Q56" s="263" t="n"/>
      <c r="R56" s="263" t="n"/>
      <c r="S56" s="266" t="n"/>
      <c r="T56" s="267" t="n"/>
      <c r="U56" s="263" t="n"/>
      <c r="V56" s="267" t="n"/>
      <c r="W56" s="266" t="n"/>
      <c r="X56" s="263" t="n"/>
      <c r="Y56" s="263" t="inlineStr">
        <is>
          <t>MOTOR</t>
        </is>
      </c>
      <c r="Z56" s="263" t="n"/>
      <c r="AA56" s="266" t="inlineStr">
        <is>
          <t>GATE</t>
        </is>
      </c>
      <c r="AB56" s="266" t="n"/>
      <c r="AC56" s="263" t="n"/>
      <c r="AD56" s="263" t="n"/>
      <c r="AE56" s="266" t="n"/>
      <c r="AF56" s="266" t="n"/>
      <c r="AG56" s="263" t="n"/>
      <c r="AH56" s="266" t="n"/>
      <c r="AI56" s="263" t="n"/>
      <c r="AJ56" s="263" t="n"/>
      <c r="AK56" s="263" t="n"/>
      <c r="AL56" s="263" t="n"/>
      <c r="AM56" s="263" t="inlineStr">
        <is>
          <t>[DESCRIPTION] 후보에서 골랐으나 근거가 약함 — 확인 필요 → 미처리</t>
        </is>
      </c>
    </row>
    <row r="57" ht="50.1" customFormat="1" customHeight="1" s="183">
      <c r="A57" s="263" t="n">
        <v>50</v>
      </c>
      <c r="B57" s="263" t="inlineStr">
        <is>
          <t>D00P-10LBA10-M05-0001</t>
        </is>
      </c>
      <c r="C57" s="263" t="n"/>
      <c r="D57" s="263" t="n">
        <v>2</v>
      </c>
      <c r="E57" s="266" t="inlineStr">
        <is>
          <t>P&amp;ID FOR HP STEAM SYSTEM GROUP 10</t>
        </is>
      </c>
      <c r="F57" s="263" t="n"/>
      <c r="G57" s="263" t="n"/>
      <c r="H57" s="263" t="n"/>
      <c r="I57" s="263" t="n"/>
      <c r="J57" s="263" t="n"/>
      <c r="K57" s="263" t="n"/>
      <c r="L57" s="264" t="inlineStr">
        <is>
          <t>TO CLEAN DRAIN TANK GLOBE VALVE C</t>
        </is>
      </c>
      <c r="M57" s="263" t="n"/>
      <c r="N57" s="265" t="n"/>
      <c r="O57" s="265" t="n"/>
      <c r="P57" s="263" t="n"/>
      <c r="Q57" s="263" t="n"/>
      <c r="R57" s="263" t="n"/>
      <c r="S57" s="266" t="n"/>
      <c r="T57" s="267" t="n"/>
      <c r="U57" s="263" t="n"/>
      <c r="V57" s="267" t="n"/>
      <c r="W57" s="266" t="n"/>
      <c r="X57" s="263" t="n"/>
      <c r="Y57" s="263" t="inlineStr">
        <is>
          <t>MOTOR</t>
        </is>
      </c>
      <c r="Z57" s="263" t="n"/>
      <c r="AA57" s="266" t="inlineStr">
        <is>
          <t>MOV(GLOBE)</t>
        </is>
      </c>
      <c r="AB57" s="266" t="n"/>
      <c r="AC57" s="263" t="n"/>
      <c r="AD57" s="263" t="n"/>
      <c r="AE57" s="266" t="n"/>
      <c r="AF57" s="266" t="n"/>
      <c r="AG57" s="263" t="n"/>
      <c r="AH57" s="266" t="n"/>
      <c r="AI57" s="263" t="n"/>
      <c r="AJ57" s="263" t="n"/>
      <c r="AK57" s="263" t="n"/>
      <c r="AL57" s="263" t="n"/>
      <c r="AM57" s="263" t="inlineStr">
        <is>
          <t>판정축 ②b · 귀속 →CLEAN DRAIN TANK</t>
        </is>
      </c>
    </row>
    <row r="58" ht="50.1" customFormat="1" customHeight="1" s="183">
      <c r="A58" s="263" t="n">
        <v>51</v>
      </c>
      <c r="B58" s="263" t="inlineStr">
        <is>
          <t>D00P-10LBA10-M05-0001</t>
        </is>
      </c>
      <c r="C58" s="263" t="n"/>
      <c r="D58" s="263" t="n">
        <v>2</v>
      </c>
      <c r="E58" s="266" t="inlineStr">
        <is>
          <t>P&amp;ID FOR HP STEAM SYSTEM GROUP 10</t>
        </is>
      </c>
      <c r="F58" s="263" t="n"/>
      <c r="G58" s="263" t="n"/>
      <c r="H58" s="263" t="n"/>
      <c r="I58" s="263" t="n"/>
      <c r="J58" s="263" t="n"/>
      <c r="K58" s="263" t="n"/>
      <c r="L58" s="264" t="inlineStr">
        <is>
          <t>TO CLEAN DRAIN TANK GLOBE VALVE B</t>
        </is>
      </c>
      <c r="M58" s="263" t="n"/>
      <c r="N58" s="265" t="n"/>
      <c r="O58" s="265" t="n"/>
      <c r="P58" s="263" t="n"/>
      <c r="Q58" s="263" t="n"/>
      <c r="R58" s="263" t="n"/>
      <c r="S58" s="266" t="n"/>
      <c r="T58" s="267" t="n"/>
      <c r="U58" s="263" t="n"/>
      <c r="V58" s="267" t="n"/>
      <c r="W58" s="266" t="n"/>
      <c r="X58" s="263" t="n"/>
      <c r="Y58" s="263" t="inlineStr">
        <is>
          <t>MOTOR</t>
        </is>
      </c>
      <c r="Z58" s="263" t="n"/>
      <c r="AA58" s="266" t="inlineStr">
        <is>
          <t>GLOBE</t>
        </is>
      </c>
      <c r="AB58" s="266" t="n"/>
      <c r="AC58" s="263" t="n"/>
      <c r="AD58" s="263" t="n"/>
      <c r="AE58" s="266" t="n"/>
      <c r="AF58" s="266" t="n"/>
      <c r="AG58" s="263" t="n"/>
      <c r="AH58" s="266" t="n"/>
      <c r="AI58" s="263" t="n"/>
      <c r="AJ58" s="263" t="n"/>
      <c r="AK58" s="263" t="n"/>
      <c r="AL58" s="263" t="n"/>
      <c r="AM58" s="263" t="inlineStr">
        <is>
          <t>판정축 ②b · 귀속 →CLEAN DRAIN TANK</t>
        </is>
      </c>
    </row>
    <row r="59" ht="50.1" customFormat="1" customHeight="1" s="183">
      <c r="A59" s="263" t="n">
        <v>52</v>
      </c>
      <c r="B59" s="263" t="inlineStr">
        <is>
          <t>D00P-10LBA10-M05-0001</t>
        </is>
      </c>
      <c r="C59" s="263" t="n"/>
      <c r="D59" s="263" t="n">
        <v>2</v>
      </c>
      <c r="E59" s="266" t="inlineStr">
        <is>
          <t>P&amp;ID FOR HP STEAM SYSTEM GROUP 10</t>
        </is>
      </c>
      <c r="F59" s="263" t="n"/>
      <c r="G59" s="263" t="n"/>
      <c r="H59" s="263" t="n"/>
      <c r="I59" s="263" t="n"/>
      <c r="J59" s="263" t="n"/>
      <c r="K59" s="263" t="n"/>
      <c r="L59" s="264" t="inlineStr">
        <is>
          <t>TO CLEAN DRAIN GLOBE VALVE</t>
        </is>
      </c>
      <c r="M59" s="263" t="n"/>
      <c r="N59" s="268" t="n"/>
      <c r="O59" s="269" t="n"/>
      <c r="P59" s="263" t="n"/>
      <c r="Q59" s="263" t="n"/>
      <c r="R59" s="263" t="n"/>
      <c r="S59" s="266" t="n"/>
      <c r="T59" s="267" t="n"/>
      <c r="U59" s="263" t="n"/>
      <c r="V59" s="267" t="n"/>
      <c r="W59" s="266" t="n"/>
      <c r="X59" s="263" t="n"/>
      <c r="Y59" s="263" t="inlineStr">
        <is>
          <t>MOTOR</t>
        </is>
      </c>
      <c r="Z59" s="263" t="n"/>
      <c r="AA59" s="266" t="inlineStr">
        <is>
          <t>MOV(GLOBE)</t>
        </is>
      </c>
      <c r="AB59" s="266" t="n"/>
      <c r="AC59" s="263" t="n"/>
      <c r="AD59" s="263" t="n"/>
      <c r="AE59" s="266" t="n"/>
      <c r="AF59" s="266" t="n"/>
      <c r="AG59" s="263" t="n"/>
      <c r="AH59" s="266" t="n"/>
      <c r="AI59" s="263" t="n"/>
      <c r="AJ59" s="263" t="n"/>
      <c r="AK59" s="263" t="n"/>
      <c r="AL59" s="263" t="n"/>
      <c r="AM59" s="263" t="inlineStr">
        <is>
          <t>판정축 ②b · 귀속 →CLEAN DRAIN</t>
        </is>
      </c>
    </row>
    <row r="60" ht="50.1" customFormat="1" customHeight="1" s="183">
      <c r="A60" s="263" t="n">
        <v>53</v>
      </c>
      <c r="B60" s="263" t="inlineStr">
        <is>
          <t>D00P-10LBA10-M05-0001</t>
        </is>
      </c>
      <c r="C60" s="263" t="n"/>
      <c r="D60" s="263" t="n">
        <v>2</v>
      </c>
      <c r="E60" s="266" t="inlineStr">
        <is>
          <t>P&amp;ID FOR HP STEAM SYSTEM GROUP 10</t>
        </is>
      </c>
      <c r="F60" s="263" t="n"/>
      <c r="G60" s="263" t="n"/>
      <c r="H60" s="263" t="n"/>
      <c r="I60" s="263" t="n"/>
      <c r="J60" s="263" t="n"/>
      <c r="K60" s="263" t="n"/>
      <c r="L60" s="264" t="inlineStr">
        <is>
          <t>FROM HRSG#11 GATE VALVE</t>
        </is>
      </c>
      <c r="M60" s="263" t="n"/>
      <c r="N60" s="265" t="n"/>
      <c r="O60" s="265" t="n"/>
      <c r="P60" s="263" t="n"/>
      <c r="Q60" s="263" t="n"/>
      <c r="R60" s="263" t="n"/>
      <c r="S60" s="266" t="n"/>
      <c r="T60" s="267" t="n"/>
      <c r="U60" s="263" t="n"/>
      <c r="V60" s="267" t="n"/>
      <c r="W60" s="266" t="n"/>
      <c r="X60" s="263" t="n"/>
      <c r="Y60" s="263" t="inlineStr">
        <is>
          <t>MOTOR</t>
        </is>
      </c>
      <c r="Z60" s="263" t="n"/>
      <c r="AA60" s="266" t="inlineStr">
        <is>
          <t>GATE</t>
        </is>
      </c>
      <c r="AB60" s="266" t="n"/>
      <c r="AC60" s="263" t="n"/>
      <c r="AD60" s="263" t="n"/>
      <c r="AE60" s="266" t="n"/>
      <c r="AF60" s="266" t="n"/>
      <c r="AG60" s="263" t="n"/>
      <c r="AH60" s="266" t="n"/>
      <c r="AI60" s="263" t="n"/>
      <c r="AJ60" s="263" t="n"/>
      <c r="AK60" s="263" t="n"/>
      <c r="AL60" s="263" t="n"/>
      <c r="AM60" s="263" t="inlineStr">
        <is>
          <t>[DESCRIPTION] 후보에서 골랐으나 근거가 약함 — 확인 필요 → 미처리</t>
        </is>
      </c>
    </row>
    <row r="61" ht="50.1" customFormat="1" customHeight="1" s="183">
      <c r="A61" s="263" t="n">
        <v>54</v>
      </c>
      <c r="B61" s="263" t="inlineStr">
        <is>
          <t>D00P-10LBA10-M05-0001</t>
        </is>
      </c>
      <c r="C61" s="263" t="n"/>
      <c r="D61" s="263" t="n">
        <v>2</v>
      </c>
      <c r="E61" s="266" t="inlineStr">
        <is>
          <t>P&amp;ID FOR HP STEAM SYSTEM GROUP 10</t>
        </is>
      </c>
      <c r="F61" s="263" t="n"/>
      <c r="G61" s="263" t="n"/>
      <c r="H61" s="263" t="n"/>
      <c r="I61" s="263" t="n"/>
      <c r="J61" s="263" t="n"/>
      <c r="K61" s="263" t="n"/>
      <c r="L61" s="264" t="inlineStr">
        <is>
          <t>TO HRSG#11 BD TANK BALL VALVE</t>
        </is>
      </c>
      <c r="M61" s="263" t="n"/>
      <c r="N61" s="265" t="n"/>
      <c r="O61" s="265" t="n"/>
      <c r="P61" s="263" t="n"/>
      <c r="Q61" s="263" t="n"/>
      <c r="R61" s="263" t="n"/>
      <c r="S61" s="266" t="n"/>
      <c r="T61" s="267" t="n"/>
      <c r="U61" s="263" t="n"/>
      <c r="V61" s="267" t="n"/>
      <c r="W61" s="266" t="n"/>
      <c r="X61" s="263" t="n"/>
      <c r="Y61" s="263" t="inlineStr">
        <is>
          <t>MOTOR</t>
        </is>
      </c>
      <c r="Z61" s="263" t="n"/>
      <c r="AA61" s="266" t="inlineStr">
        <is>
          <t>MOV(BALL)</t>
        </is>
      </c>
      <c r="AB61" s="266" t="n"/>
      <c r="AC61" s="263" t="n"/>
      <c r="AD61" s="263" t="n"/>
      <c r="AE61" s="266" t="n"/>
      <c r="AF61" s="266" t="n"/>
      <c r="AG61" s="263" t="n"/>
      <c r="AH61" s="266" t="n"/>
      <c r="AI61" s="263" t="n"/>
      <c r="AJ61" s="263" t="n"/>
      <c r="AK61" s="263" t="n"/>
      <c r="AL61" s="263" t="n"/>
      <c r="AM61" s="263" t="inlineStr">
        <is>
          <t>판정축 ②b · 귀속 →HRSG#11 BD TANK</t>
        </is>
      </c>
    </row>
    <row r="62" ht="50.1" customFormat="1" customHeight="1" s="183">
      <c r="A62" s="263" t="n">
        <v>55</v>
      </c>
      <c r="B62" s="263" t="inlineStr">
        <is>
          <t>D00P-10LBA10-M05-0001</t>
        </is>
      </c>
      <c r="C62" s="263" t="n"/>
      <c r="D62" s="263" t="n">
        <v>2</v>
      </c>
      <c r="E62" s="266" t="inlineStr">
        <is>
          <t>P&amp;ID FOR HP STEAM SYSTEM GROUP 10</t>
        </is>
      </c>
      <c r="F62" s="263" t="n"/>
      <c r="G62" s="263" t="n"/>
      <c r="H62" s="263" t="n"/>
      <c r="I62" s="263" t="n"/>
      <c r="J62" s="263" t="n"/>
      <c r="K62" s="263" t="n"/>
      <c r="L62" s="264" t="inlineStr">
        <is>
          <t>TO CLEAN DRAIN TANK GLOBE VALVE A</t>
        </is>
      </c>
      <c r="M62" s="263" t="n"/>
      <c r="N62" s="265" t="n"/>
      <c r="O62" s="265" t="n"/>
      <c r="P62" s="263" t="n"/>
      <c r="Q62" s="263" t="n"/>
      <c r="R62" s="263" t="n"/>
      <c r="S62" s="266" t="n"/>
      <c r="T62" s="267" t="n"/>
      <c r="U62" s="263" t="n"/>
      <c r="V62" s="267" t="n"/>
      <c r="W62" s="266" t="n"/>
      <c r="X62" s="263" t="n"/>
      <c r="Y62" s="263" t="inlineStr">
        <is>
          <t>MOTOR</t>
        </is>
      </c>
      <c r="Z62" s="263" t="n"/>
      <c r="AA62" s="266" t="inlineStr">
        <is>
          <t>GLOBE</t>
        </is>
      </c>
      <c r="AB62" s="266" t="n"/>
      <c r="AC62" s="263" t="n"/>
      <c r="AD62" s="263" t="n"/>
      <c r="AE62" s="266" t="n"/>
      <c r="AF62" s="266" t="n"/>
      <c r="AG62" s="263" t="n"/>
      <c r="AH62" s="266" t="n"/>
      <c r="AI62" s="263" t="n"/>
      <c r="AJ62" s="263" t="n"/>
      <c r="AK62" s="263" t="n"/>
      <c r="AL62" s="263" t="n"/>
      <c r="AM62" s="263" t="inlineStr">
        <is>
          <t>판정축 ②b · 귀속 →CLEAN DRAIN TANK</t>
        </is>
      </c>
    </row>
    <row r="63" ht="50.1" customFormat="1" customHeight="1" s="183">
      <c r="A63" s="263" t="n">
        <v>56</v>
      </c>
      <c r="B63" s="263" t="inlineStr">
        <is>
          <t>D00P-10LBC50-M05-0001</t>
        </is>
      </c>
      <c r="C63" s="263" t="n"/>
      <c r="D63" s="263" t="n">
        <v>2</v>
      </c>
      <c r="E63" s="266" t="inlineStr">
        <is>
          <t>P&amp;ID FOR HRH STEAM SYSTEM GROUP 10</t>
        </is>
      </c>
      <c r="F63" s="263" t="n"/>
      <c r="G63" s="263" t="n"/>
      <c r="H63" s="263" t="n"/>
      <c r="I63" s="263" t="n"/>
      <c r="J63" s="263" t="n"/>
      <c r="K63" s="263" t="n"/>
      <c r="L63" s="264" t="inlineStr">
        <is>
          <t>TO HRSG#12 BD TANK GLOBE VALVE</t>
        </is>
      </c>
      <c r="M63" s="263" t="n"/>
      <c r="N63" s="265" t="n"/>
      <c r="O63" s="265" t="n"/>
      <c r="P63" s="263" t="n"/>
      <c r="Q63" s="263" t="n"/>
      <c r="R63" s="263" t="n"/>
      <c r="S63" s="266" t="n"/>
      <c r="T63" s="267" t="n"/>
      <c r="U63" s="263" t="n"/>
      <c r="V63" s="267" t="n"/>
      <c r="W63" s="266" t="n"/>
      <c r="X63" s="263" t="n"/>
      <c r="Y63" s="263" t="inlineStr">
        <is>
          <t>MOTOR</t>
        </is>
      </c>
      <c r="Z63" s="263" t="n"/>
      <c r="AA63" s="266" t="inlineStr">
        <is>
          <t>MOV(GLOBE)</t>
        </is>
      </c>
      <c r="AB63" s="266" t="n"/>
      <c r="AC63" s="263" t="n"/>
      <c r="AD63" s="263" t="n"/>
      <c r="AE63" s="266" t="n"/>
      <c r="AF63" s="266" t="n"/>
      <c r="AG63" s="263" t="n"/>
      <c r="AH63" s="266" t="n"/>
      <c r="AI63" s="263" t="n"/>
      <c r="AJ63" s="263" t="n"/>
      <c r="AK63" s="263" t="n"/>
      <c r="AL63" s="263" t="n"/>
      <c r="AM63" s="263" t="inlineStr">
        <is>
          <t>판정축 ②b · 귀속 →HRSG#12 BD TANK</t>
        </is>
      </c>
    </row>
    <row r="64" ht="50.1" customFormat="1" customHeight="1" s="183">
      <c r="A64" s="263" t="n">
        <v>57</v>
      </c>
      <c r="B64" s="263" t="inlineStr">
        <is>
          <t>D00P-10LBC50-M05-0001</t>
        </is>
      </c>
      <c r="C64" s="263" t="n"/>
      <c r="D64" s="263" t="n">
        <v>2</v>
      </c>
      <c r="E64" s="266" t="inlineStr">
        <is>
          <t>P&amp;ID FOR HRH STEAM SYSTEM GROUP 10</t>
        </is>
      </c>
      <c r="F64" s="263" t="n"/>
      <c r="G64" s="263" t="n"/>
      <c r="H64" s="263" t="n"/>
      <c r="I64" s="263" t="n"/>
      <c r="J64" s="263" t="n"/>
      <c r="K64" s="263" t="n"/>
      <c r="L64" s="264" t="inlineStr">
        <is>
          <t>TO HRSG#11 BD TANK TO CLEAN DRAIN TANK GLOBE VALVE B</t>
        </is>
      </c>
      <c r="M64" s="263" t="n"/>
      <c r="N64" s="265" t="n"/>
      <c r="O64" s="265" t="n"/>
      <c r="P64" s="263" t="n"/>
      <c r="Q64" s="263" t="n"/>
      <c r="R64" s="263" t="n"/>
      <c r="S64" s="266" t="n"/>
      <c r="T64" s="267" t="n"/>
      <c r="U64" s="263" t="n"/>
      <c r="V64" s="267" t="n"/>
      <c r="W64" s="266" t="n"/>
      <c r="X64" s="263" t="n"/>
      <c r="Y64" s="263" t="inlineStr">
        <is>
          <t>MOTOR</t>
        </is>
      </c>
      <c r="Z64" s="263" t="n"/>
      <c r="AA64" s="266" t="inlineStr">
        <is>
          <t>MOV(GLOBE)</t>
        </is>
      </c>
      <c r="AB64" s="266" t="n"/>
      <c r="AC64" s="263" t="n"/>
      <c r="AD64" s="266" t="n"/>
      <c r="AE64" s="263" t="n"/>
      <c r="AF64" s="266" t="n"/>
      <c r="AG64" s="263" t="n"/>
      <c r="AH64" s="266" t="n"/>
      <c r="AI64" s="263" t="n"/>
      <c r="AJ64" s="263" t="n"/>
      <c r="AK64" s="263" t="n"/>
      <c r="AL64" s="263" t="n"/>
      <c r="AM64" s="263" t="inlineStr">
        <is>
          <t>판정축 ②b · 귀속 →HRSG#11 BD TANK TO CLEAN DRAIN TANK</t>
        </is>
      </c>
    </row>
    <row r="65" ht="50.1" customFormat="1" customHeight="1" s="183">
      <c r="A65" s="263" t="n">
        <v>58</v>
      </c>
      <c r="B65" s="263" t="inlineStr">
        <is>
          <t>D00P-10LBC50-M05-0001</t>
        </is>
      </c>
      <c r="C65" s="263" t="n"/>
      <c r="D65" s="263" t="n">
        <v>2</v>
      </c>
      <c r="E65" s="266" t="inlineStr">
        <is>
          <t>P&amp;ID FOR HRH STEAM SYSTEM GROUP 10</t>
        </is>
      </c>
      <c r="F65" s="263" t="n"/>
      <c r="G65" s="263" t="n"/>
      <c r="H65" s="263" t="n"/>
      <c r="I65" s="263" t="n"/>
      <c r="J65" s="263" t="n"/>
      <c r="K65" s="263" t="n"/>
      <c r="L65" s="264" t="inlineStr">
        <is>
          <t>TO CLEAN DRAIN TANK GLOBE VALVE B</t>
        </is>
      </c>
      <c r="M65" s="263" t="n"/>
      <c r="N65" s="265" t="n"/>
      <c r="O65" s="265" t="n"/>
      <c r="P65" s="263" t="n"/>
      <c r="Q65" s="263" t="n"/>
      <c r="R65" s="263" t="n"/>
      <c r="S65" s="266" t="n"/>
      <c r="T65" s="267" t="n"/>
      <c r="U65" s="263" t="n"/>
      <c r="V65" s="267" t="n"/>
      <c r="W65" s="266" t="n"/>
      <c r="X65" s="263" t="n"/>
      <c r="Y65" s="263" t="inlineStr">
        <is>
          <t>MOTOR</t>
        </is>
      </c>
      <c r="Z65" s="263" t="n"/>
      <c r="AA65" s="266" t="inlineStr">
        <is>
          <t>GLOBE</t>
        </is>
      </c>
      <c r="AB65" s="266" t="n"/>
      <c r="AC65" s="263" t="n"/>
      <c r="AD65" s="266" t="n"/>
      <c r="AE65" s="263" t="n"/>
      <c r="AF65" s="266" t="n"/>
      <c r="AG65" s="263" t="n"/>
      <c r="AH65" s="266" t="n"/>
      <c r="AI65" s="263" t="n"/>
      <c r="AJ65" s="263" t="n"/>
      <c r="AK65" s="263" t="n"/>
      <c r="AL65" s="263" t="n"/>
      <c r="AM65" s="263" t="inlineStr">
        <is>
          <t>판정축 ②b · 귀속 →CLEAN DRAIN TANK</t>
        </is>
      </c>
    </row>
    <row r="66" ht="50.1" customFormat="1" customHeight="1" s="183">
      <c r="A66" s="263" t="n">
        <v>59</v>
      </c>
      <c r="B66" s="263" t="inlineStr">
        <is>
          <t>D00P-10LBC50-M05-0001</t>
        </is>
      </c>
      <c r="C66" s="263" t="n"/>
      <c r="D66" s="263" t="n">
        <v>2</v>
      </c>
      <c r="E66" s="266" t="inlineStr">
        <is>
          <t>P&amp;ID FOR HRH STEAM SYSTEM GROUP 10</t>
        </is>
      </c>
      <c r="F66" s="263" t="n"/>
      <c r="G66" s="263" t="n"/>
      <c r="H66" s="263" t="n"/>
      <c r="I66" s="263" t="n"/>
      <c r="J66" s="263" t="n"/>
      <c r="K66" s="263" t="n"/>
      <c r="L66" s="264" t="inlineStr">
        <is>
          <t>TO HRSG#11 BD TANK TO CLEAN DRAIN TANK GLOBE VALVE A</t>
        </is>
      </c>
      <c r="M66" s="263" t="n"/>
      <c r="N66" s="265" t="n"/>
      <c r="O66" s="265" t="n"/>
      <c r="P66" s="263" t="n"/>
      <c r="Q66" s="263" t="n"/>
      <c r="R66" s="263" t="n"/>
      <c r="S66" s="266" t="n"/>
      <c r="T66" s="267" t="n"/>
      <c r="U66" s="263" t="n"/>
      <c r="V66" s="267" t="n"/>
      <c r="W66" s="266" t="n"/>
      <c r="X66" s="263" t="n"/>
      <c r="Y66" s="263" t="inlineStr">
        <is>
          <t>MOTOR</t>
        </is>
      </c>
      <c r="Z66" s="263" t="n"/>
      <c r="AA66" s="266" t="inlineStr">
        <is>
          <t>MOV(GLOBE)</t>
        </is>
      </c>
      <c r="AB66" s="266" t="n"/>
      <c r="AC66" s="263" t="n"/>
      <c r="AD66" s="266" t="n"/>
      <c r="AE66" s="263" t="n"/>
      <c r="AF66" s="266" t="n"/>
      <c r="AG66" s="263" t="n"/>
      <c r="AH66" s="266" t="n"/>
      <c r="AI66" s="263" t="n"/>
      <c r="AJ66" s="263" t="n"/>
      <c r="AK66" s="263" t="n"/>
      <c r="AL66" s="263" t="n"/>
      <c r="AM66" s="263" t="inlineStr">
        <is>
          <t>판정축 ②b · 귀속 →HRSG#11 BD TANK TO CLEAN DRAIN TANK</t>
        </is>
      </c>
    </row>
    <row r="67" ht="50.1" customFormat="1" customHeight="1" s="183">
      <c r="A67" s="263" t="n">
        <v>60</v>
      </c>
      <c r="B67" s="263" t="inlineStr">
        <is>
          <t>D00P-10LBC50-M05-0001</t>
        </is>
      </c>
      <c r="C67" s="263" t="n"/>
      <c r="D67" s="263" t="n">
        <v>2</v>
      </c>
      <c r="E67" s="266" t="inlineStr">
        <is>
          <t>P&amp;ID FOR HRH STEAM SYSTEM GROUP 10</t>
        </is>
      </c>
      <c r="F67" s="263" t="n"/>
      <c r="G67" s="263" t="n"/>
      <c r="H67" s="263" t="n"/>
      <c r="I67" s="263" t="n"/>
      <c r="J67" s="263" t="n"/>
      <c r="K67" s="263" t="n"/>
      <c r="L67" s="264" t="inlineStr">
        <is>
          <t>FROM HRSG#11 REHEATER GATE VALVE</t>
        </is>
      </c>
      <c r="M67" s="263" t="n"/>
      <c r="N67" s="265" t="n"/>
      <c r="O67" s="265" t="n"/>
      <c r="P67" s="263" t="n"/>
      <c r="Q67" s="263" t="n"/>
      <c r="R67" s="263" t="n"/>
      <c r="S67" s="266" t="n"/>
      <c r="T67" s="267" t="n"/>
      <c r="U67" s="263" t="n"/>
      <c r="V67" s="267" t="n"/>
      <c r="W67" s="266" t="n"/>
      <c r="X67" s="263" t="n"/>
      <c r="Y67" s="263" t="inlineStr">
        <is>
          <t>MOTOR</t>
        </is>
      </c>
      <c r="Z67" s="263" t="n"/>
      <c r="AA67" s="266" t="inlineStr">
        <is>
          <t>MOV(GATE)</t>
        </is>
      </c>
      <c r="AB67" s="266" t="n"/>
      <c r="AC67" s="263" t="n"/>
      <c r="AD67" s="266" t="n"/>
      <c r="AE67" s="263" t="n"/>
      <c r="AF67" s="266" t="n"/>
      <c r="AG67" s="263" t="n"/>
      <c r="AH67" s="266" t="n"/>
      <c r="AI67" s="263" t="n"/>
      <c r="AJ67" s="263" t="n"/>
      <c r="AK67" s="263" t="n"/>
      <c r="AL67" s="263" t="n"/>
      <c r="AM67" s="263" t="inlineStr">
        <is>
          <t>[DESCRIPTION] 후보에서 골랐으나 근거가 약함 — 확인 필요 → 미처리</t>
        </is>
      </c>
    </row>
    <row r="68" ht="50.1" customFormat="1" customHeight="1" s="183">
      <c r="A68" s="263" t="n">
        <v>61</v>
      </c>
      <c r="B68" s="263" t="inlineStr">
        <is>
          <t>D00P-10LBC50-M05-0001</t>
        </is>
      </c>
      <c r="C68" s="263" t="n"/>
      <c r="D68" s="263" t="n">
        <v>2</v>
      </c>
      <c r="E68" s="266" t="inlineStr">
        <is>
          <t>P&amp;ID FOR HRH STEAM SYSTEM GROUP 10</t>
        </is>
      </c>
      <c r="F68" s="263" t="n"/>
      <c r="G68" s="263" t="n"/>
      <c r="H68" s="263" t="n"/>
      <c r="I68" s="263" t="n"/>
      <c r="J68" s="263" t="n"/>
      <c r="K68" s="263" t="n"/>
      <c r="L68" s="264" t="inlineStr">
        <is>
          <t>TO CLEAN DRAIN TANK GLOBE VALVE A</t>
        </is>
      </c>
      <c r="M68" s="263" t="n"/>
      <c r="N68" s="265" t="n"/>
      <c r="O68" s="265" t="n"/>
      <c r="P68" s="263" t="n"/>
      <c r="Q68" s="263" t="n"/>
      <c r="R68" s="263" t="n"/>
      <c r="S68" s="266" t="n"/>
      <c r="T68" s="267" t="n"/>
      <c r="U68" s="263" t="n"/>
      <c r="V68" s="267" t="n"/>
      <c r="W68" s="266" t="n"/>
      <c r="X68" s="263" t="n"/>
      <c r="Y68" s="263" t="inlineStr">
        <is>
          <t>MOTOR</t>
        </is>
      </c>
      <c r="Z68" s="263" t="n"/>
      <c r="AA68" s="266" t="inlineStr">
        <is>
          <t>GLOBE</t>
        </is>
      </c>
      <c r="AB68" s="266" t="n"/>
      <c r="AC68" s="263" t="n"/>
      <c r="AD68" s="266" t="n"/>
      <c r="AE68" s="263" t="n"/>
      <c r="AF68" s="266" t="n"/>
      <c r="AG68" s="263" t="n"/>
      <c r="AH68" s="266" t="n"/>
      <c r="AI68" s="263" t="n"/>
      <c r="AJ68" s="263" t="n"/>
      <c r="AK68" s="263" t="n"/>
      <c r="AL68" s="263" t="n"/>
      <c r="AM68" s="263" t="inlineStr">
        <is>
          <t>판정축 ②b · 귀속 →CLEAN DRAIN TANK</t>
        </is>
      </c>
    </row>
    <row r="69" ht="50.1" customFormat="1" customHeight="1" s="183">
      <c r="A69" s="263" t="n">
        <v>62</v>
      </c>
      <c r="B69" s="263" t="inlineStr">
        <is>
          <t>D00P-11LAB00-M05-0001</t>
        </is>
      </c>
      <c r="C69" s="263" t="n"/>
      <c r="D69" s="263" t="n">
        <v>4</v>
      </c>
      <c r="E69" s="266" t="inlineStr">
        <is>
          <t>P&amp;ID FOR HRSG FEEDWATER SYSTEM UNIT 11</t>
        </is>
      </c>
      <c r="F69" s="263" t="n"/>
      <c r="G69" s="263" t="n"/>
      <c r="H69" s="263" t="n"/>
      <c r="I69" s="263" t="n"/>
      <c r="J69" s="263" t="n"/>
      <c r="K69" s="263" t="n"/>
      <c r="L69" s="264" t="inlineStr">
        <is>
          <t>TO HRSG#11 HP ECONOMIZER GATE VALVE A</t>
        </is>
      </c>
      <c r="M69" s="263" t="n"/>
      <c r="N69" s="265" t="n"/>
      <c r="O69" s="265" t="n"/>
      <c r="P69" s="263" t="n"/>
      <c r="Q69" s="263" t="n"/>
      <c r="R69" s="263" t="n"/>
      <c r="S69" s="266" t="n"/>
      <c r="T69" s="267" t="n"/>
      <c r="U69" s="263" t="n"/>
      <c r="V69" s="267" t="n"/>
      <c r="W69" s="266" t="n"/>
      <c r="X69" s="263" t="n"/>
      <c r="Y69" s="263" t="inlineStr">
        <is>
          <t>MOTOR</t>
        </is>
      </c>
      <c r="Z69" s="263" t="n"/>
      <c r="AA69" s="266" t="inlineStr">
        <is>
          <t>GATE</t>
        </is>
      </c>
      <c r="AB69" s="266" t="n"/>
      <c r="AC69" s="263" t="n"/>
      <c r="AD69" s="266" t="n"/>
      <c r="AE69" s="263" t="n"/>
      <c r="AF69" s="266" t="n"/>
      <c r="AG69" s="263" t="n"/>
      <c r="AH69" s="266" t="n"/>
      <c r="AI69" s="263" t="n"/>
      <c r="AJ69" s="263" t="n"/>
      <c r="AK69" s="263" t="n"/>
      <c r="AL69" s="263" t="n"/>
      <c r="AM69" s="263" t="inlineStr">
        <is>
          <t>판정축 ②b · 귀속 →HRSG#11 HP ECONOMIZER</t>
        </is>
      </c>
    </row>
    <row r="70" ht="50.1" customFormat="1" customHeight="1" s="183">
      <c r="A70" s="263" t="n">
        <v>63</v>
      </c>
      <c r="B70" s="263" t="inlineStr">
        <is>
          <t>D00P-11LAB00-M05-0001</t>
        </is>
      </c>
      <c r="C70" s="263" t="n"/>
      <c r="D70" s="263" t="n">
        <v>4</v>
      </c>
      <c r="E70" s="266" t="inlineStr">
        <is>
          <t>P&amp;ID FOR HRSG FEEDWATER SYSTEM UNIT 11</t>
        </is>
      </c>
      <c r="F70" s="263" t="n"/>
      <c r="G70" s="263" t="n"/>
      <c r="H70" s="263" t="n"/>
      <c r="I70" s="263" t="n"/>
      <c r="J70" s="263" t="n"/>
      <c r="K70" s="263" t="n"/>
      <c r="L70" s="264" t="inlineStr">
        <is>
          <t>TO HRSG#11 HP ECONOMIZER GATE VALVE B</t>
        </is>
      </c>
      <c r="M70" s="263" t="n"/>
      <c r="N70" s="265" t="n"/>
      <c r="O70" s="265" t="n"/>
      <c r="P70" s="263" t="n"/>
      <c r="Q70" s="263" t="n"/>
      <c r="R70" s="263" t="n"/>
      <c r="S70" s="266" t="n"/>
      <c r="T70" s="267" t="n"/>
      <c r="U70" s="263" t="n"/>
      <c r="V70" s="267" t="n"/>
      <c r="W70" s="266" t="n"/>
      <c r="X70" s="263" t="n"/>
      <c r="Y70" s="263" t="inlineStr">
        <is>
          <t>MOTOR</t>
        </is>
      </c>
      <c r="Z70" s="263" t="n"/>
      <c r="AA70" s="266" t="inlineStr">
        <is>
          <t>MOV(GATE)</t>
        </is>
      </c>
      <c r="AB70" s="266" t="n"/>
      <c r="AC70" s="263" t="n"/>
      <c r="AD70" s="266" t="n"/>
      <c r="AE70" s="263" t="n"/>
      <c r="AF70" s="266" t="n"/>
      <c r="AG70" s="263" t="n"/>
      <c r="AH70" s="266" t="n"/>
      <c r="AI70" s="263" t="n"/>
      <c r="AJ70" s="263" t="n"/>
      <c r="AK70" s="263" t="n"/>
      <c r="AL70" s="263" t="n"/>
      <c r="AM70" s="263" t="inlineStr">
        <is>
          <t>판정축 ②b · 귀속 →HRSG#11 HP ECONOMIZER</t>
        </is>
      </c>
    </row>
    <row r="71">
      <c r="A71" s="263" t="n">
        <v>64</v>
      </c>
      <c r="B71" s="263" t="inlineStr">
        <is>
          <t>D00P-11LAB00-M05-0001</t>
        </is>
      </c>
      <c r="C71" s="263" t="n"/>
      <c r="D71" s="263" t="n">
        <v>4</v>
      </c>
      <c r="E71" s="266" t="inlineStr">
        <is>
          <t>P&amp;ID FOR HRSG FEEDWATER SYSTEM UNIT 11</t>
        </is>
      </c>
      <c r="F71" s="263" t="n"/>
      <c r="G71" s="263" t="n"/>
      <c r="H71" s="263" t="n"/>
      <c r="I71" s="263" t="n"/>
      <c r="J71" s="263" t="n"/>
      <c r="K71" s="263" t="n"/>
      <c r="L71" s="264" t="inlineStr">
        <is>
          <t>HRSG #11 LP DRUM DISCHARGE GATE VALVE</t>
        </is>
      </c>
      <c r="M71" s="263" t="n"/>
      <c r="N71" s="265" t="n"/>
      <c r="O71" s="265" t="n"/>
      <c r="P71" s="263" t="n"/>
      <c r="Q71" s="263" t="n"/>
      <c r="R71" s="263" t="n"/>
      <c r="S71" s="266" t="n"/>
      <c r="T71" s="267" t="n"/>
      <c r="U71" s="263" t="n"/>
      <c r="V71" s="267" t="n"/>
      <c r="W71" s="266" t="n"/>
      <c r="X71" s="263" t="n"/>
      <c r="Y71" s="263" t="inlineStr">
        <is>
          <t>MOTOR</t>
        </is>
      </c>
      <c r="Z71" s="263" t="n"/>
      <c r="AA71" s="266" t="inlineStr">
        <is>
          <t>GATE</t>
        </is>
      </c>
      <c r="AB71" s="266" t="n"/>
      <c r="AC71" s="263" t="n"/>
      <c r="AD71" s="266" t="n"/>
      <c r="AE71" s="263" t="n"/>
      <c r="AF71" s="266" t="n"/>
      <c r="AG71" s="263" t="n"/>
      <c r="AH71" s="266" t="n"/>
      <c r="AI71" s="263" t="n"/>
      <c r="AJ71" s="263" t="n"/>
      <c r="AK71" s="263" t="n"/>
      <c r="AL71" s="263" t="n"/>
      <c r="AM71" s="263" t="inlineStr">
        <is>
          <t>판정축 ③ · 귀속 HRSG #11 LP DRUM→(다분기)</t>
        </is>
      </c>
    </row>
    <row r="72">
      <c r="A72" s="263" t="n">
        <v>65</v>
      </c>
      <c r="B72" s="263" t="inlineStr">
        <is>
          <t>D00P-10LBA30-M05-0001</t>
        </is>
      </c>
      <c r="C72" s="263" t="n"/>
      <c r="D72" s="263" t="n">
        <v>2</v>
      </c>
      <c r="E72" s="266" t="inlineStr">
        <is>
          <t>P&amp;ID FOR LP STEAM SYSTEM GROUP 10</t>
        </is>
      </c>
      <c r="F72" s="263" t="n"/>
      <c r="G72" s="263" t="n"/>
      <c r="H72" s="263" t="n"/>
      <c r="I72" s="263" t="n"/>
      <c r="J72" s="263" t="n"/>
      <c r="K72" s="263" t="n"/>
      <c r="L72" s="264" t="inlineStr">
        <is>
          <t>TO CLEAN DRAIN TANK GLOBE VALVE</t>
        </is>
      </c>
      <c r="M72" s="263" t="n"/>
      <c r="N72" s="265" t="n"/>
      <c r="O72" s="265" t="n"/>
      <c r="P72" s="263" t="n"/>
      <c r="Q72" s="263" t="n"/>
      <c r="R72" s="263" t="n"/>
      <c r="S72" s="266" t="n"/>
      <c r="T72" s="267" t="n"/>
      <c r="U72" s="263" t="n"/>
      <c r="V72" s="267" t="n"/>
      <c r="W72" s="266" t="n"/>
      <c r="X72" s="263" t="n"/>
      <c r="Y72" s="263" t="inlineStr">
        <is>
          <t>MOTOR</t>
        </is>
      </c>
      <c r="Z72" s="263" t="n"/>
      <c r="AA72" s="266" t="inlineStr">
        <is>
          <t>MOV(GLOBE)</t>
        </is>
      </c>
      <c r="AB72" s="266" t="n"/>
      <c r="AC72" s="263" t="n"/>
      <c r="AD72" s="266" t="n"/>
      <c r="AE72" s="263" t="n"/>
      <c r="AF72" s="266" t="n"/>
      <c r="AG72" s="263" t="n"/>
      <c r="AH72" s="266" t="n"/>
      <c r="AI72" s="263" t="n"/>
      <c r="AJ72" s="263" t="n"/>
      <c r="AK72" s="263" t="n"/>
      <c r="AL72" s="263" t="n"/>
      <c r="AM72" s="263" t="inlineStr">
        <is>
          <t>판정축 ②b · 귀속 →CLEAN DRAIN TANK</t>
        </is>
      </c>
    </row>
    <row r="73">
      <c r="A73" s="263" t="n">
        <v>66</v>
      </c>
      <c r="B73" s="263" t="inlineStr">
        <is>
          <t>D00P-10LBA30-M05-0001</t>
        </is>
      </c>
      <c r="C73" s="263" t="n"/>
      <c r="D73" s="263" t="n">
        <v>2</v>
      </c>
      <c r="E73" s="266" t="inlineStr">
        <is>
          <t>P&amp;ID FOR LP STEAM SYSTEM GROUP 10</t>
        </is>
      </c>
      <c r="F73" s="263" t="n"/>
      <c r="G73" s="263" t="n"/>
      <c r="H73" s="263" t="n"/>
      <c r="I73" s="263" t="n"/>
      <c r="J73" s="263" t="n"/>
      <c r="K73" s="263" t="n"/>
      <c r="L73" s="264" t="inlineStr">
        <is>
          <t>FROM HRSG #11 GATE VALVE</t>
        </is>
      </c>
      <c r="M73" s="263" t="n"/>
      <c r="N73" s="265" t="n"/>
      <c r="O73" s="265" t="n"/>
      <c r="P73" s="263" t="n"/>
      <c r="Q73" s="263" t="n"/>
      <c r="R73" s="263" t="n"/>
      <c r="S73" s="266" t="n"/>
      <c r="T73" s="267" t="n"/>
      <c r="U73" s="263" t="n"/>
      <c r="V73" s="267" t="n"/>
      <c r="W73" s="266" t="n"/>
      <c r="X73" s="263" t="n"/>
      <c r="Y73" s="263" t="inlineStr">
        <is>
          <t>MOTOR</t>
        </is>
      </c>
      <c r="Z73" s="263" t="n"/>
      <c r="AA73" s="266" t="inlineStr">
        <is>
          <t>MOV(GATE)</t>
        </is>
      </c>
      <c r="AB73" s="266" t="n"/>
      <c r="AC73" s="263" t="n"/>
      <c r="AD73" s="266" t="n"/>
      <c r="AE73" s="263" t="n"/>
      <c r="AF73" s="266" t="n"/>
      <c r="AG73" s="263" t="n"/>
      <c r="AH73" s="266" t="n"/>
      <c r="AI73" s="263" t="n"/>
      <c r="AJ73" s="263" t="n"/>
      <c r="AK73" s="263" t="n"/>
      <c r="AL73" s="263" t="n"/>
      <c r="AM73" s="263" t="inlineStr">
        <is>
          <t>[DESCRIPTION] 후보에서 골랐으나 근거가 약함 — 확인 필요 → 미처리</t>
        </is>
      </c>
    </row>
    <row r="74">
      <c r="A74" s="263" t="n">
        <v>67</v>
      </c>
      <c r="B74" s="263" t="inlineStr">
        <is>
          <t>D00P-10LBA30-M05-0001</t>
        </is>
      </c>
      <c r="C74" s="263" t="n"/>
      <c r="D74" s="263" t="n">
        <v>2</v>
      </c>
      <c r="E74" s="266" t="inlineStr">
        <is>
          <t>P&amp;ID FOR LP STEAM SYSTEM GROUP 10</t>
        </is>
      </c>
      <c r="F74" s="263" t="n"/>
      <c r="G74" s="263" t="n"/>
      <c r="H74" s="263" t="n"/>
      <c r="I74" s="263" t="n"/>
      <c r="J74" s="263" t="n"/>
      <c r="K74" s="263" t="n"/>
      <c r="L74" s="264" t="inlineStr">
        <is>
          <t>TO HRSG#11 BD TANK GLOBE VALVE</t>
        </is>
      </c>
      <c r="M74" s="263" t="n"/>
      <c r="N74" s="265" t="n"/>
      <c r="O74" s="265" t="n"/>
      <c r="P74" s="263" t="n"/>
      <c r="Q74" s="263" t="n"/>
      <c r="R74" s="263" t="n"/>
      <c r="S74" s="266" t="n"/>
      <c r="T74" s="267" t="n"/>
      <c r="U74" s="263" t="n"/>
      <c r="V74" s="267" t="n"/>
      <c r="W74" s="266" t="n"/>
      <c r="X74" s="263" t="n"/>
      <c r="Y74" s="263" t="inlineStr">
        <is>
          <t>MOTOR</t>
        </is>
      </c>
      <c r="Z74" s="263" t="n"/>
      <c r="AA74" s="266" t="inlineStr">
        <is>
          <t>MOV(GLOBE)</t>
        </is>
      </c>
      <c r="AB74" s="266" t="n"/>
      <c r="AC74" s="263" t="n"/>
      <c r="AD74" s="266" t="n"/>
      <c r="AE74" s="263" t="n"/>
      <c r="AF74" s="266" t="n"/>
      <c r="AG74" s="263" t="n"/>
      <c r="AH74" s="266" t="n"/>
      <c r="AI74" s="263" t="n"/>
      <c r="AJ74" s="263" t="n"/>
      <c r="AK74" s="263" t="n"/>
      <c r="AL74" s="263" t="n"/>
      <c r="AM74" s="263" t="inlineStr">
        <is>
          <t>판정축 ②b · 귀속 →HRSG#11 BD TANK</t>
        </is>
      </c>
    </row>
    <row r="75">
      <c r="A75" s="263" t="n">
        <v>68</v>
      </c>
      <c r="B75" s="263" t="inlineStr">
        <is>
          <t>D00P-10LBA30-M05-0001</t>
        </is>
      </c>
      <c r="C75" s="263" t="n"/>
      <c r="D75" s="263" t="n">
        <v>2</v>
      </c>
      <c r="E75" s="266" t="inlineStr">
        <is>
          <t>P&amp;ID FOR LP STEAM SYSTEM GROUP 10</t>
        </is>
      </c>
      <c r="F75" s="263" t="n"/>
      <c r="G75" s="263" t="n"/>
      <c r="H75" s="263" t="n"/>
      <c r="I75" s="263" t="n"/>
      <c r="J75" s="263" t="n"/>
      <c r="K75" s="263" t="n"/>
      <c r="L75" s="264" t="n"/>
      <c r="M75" s="263" t="n"/>
      <c r="N75" s="265" t="n"/>
      <c r="O75" s="265" t="n"/>
      <c r="P75" s="263" t="n"/>
      <c r="Q75" s="263" t="n"/>
      <c r="R75" s="263" t="n"/>
      <c r="S75" s="266" t="n"/>
      <c r="T75" s="267" t="n"/>
      <c r="U75" s="263" t="n"/>
      <c r="V75" s="267" t="n"/>
      <c r="W75" s="266" t="n"/>
      <c r="X75" s="263" t="n"/>
      <c r="Y75" s="263" t="inlineStr">
        <is>
          <t>MOTOR</t>
        </is>
      </c>
      <c r="Z75" s="263" t="n"/>
      <c r="AA75" s="266" t="inlineStr">
        <is>
          <t>MOV(GLOBE)</t>
        </is>
      </c>
      <c r="AB75" s="266" t="n"/>
      <c r="AC75" s="263" t="n"/>
      <c r="AD75" s="266" t="n"/>
      <c r="AE75" s="263" t="n"/>
      <c r="AF75" s="266" t="n"/>
      <c r="AG75" s="263" t="n"/>
      <c r="AH75" s="266" t="n"/>
      <c r="AI75" s="263" t="n"/>
      <c r="AJ75" s="263" t="n"/>
      <c r="AK75" s="263" t="n"/>
      <c r="AL75" s="263" t="n"/>
      <c r="AM75" s="263" t="inlineStr">
        <is>
          <t>[DESCRIPTION] 근거 없음 — 직접 입력 → 미처리</t>
        </is>
      </c>
    </row>
    <row r="76">
      <c r="A76" s="263" t="n">
        <v>69</v>
      </c>
      <c r="B76" s="263" t="inlineStr">
        <is>
          <t>D00P-10LBA30-M05-0001</t>
        </is>
      </c>
      <c r="C76" s="263" t="n"/>
      <c r="D76" s="263" t="n">
        <v>2</v>
      </c>
      <c r="E76" s="266" t="inlineStr">
        <is>
          <t>P&amp;ID FOR LP STEAM SYSTEM GROUP 10</t>
        </is>
      </c>
      <c r="F76" s="263" t="n"/>
      <c r="G76" s="263" t="n"/>
      <c r="H76" s="263" t="n"/>
      <c r="I76" s="263" t="n"/>
      <c r="J76" s="263" t="n"/>
      <c r="K76" s="263" t="n"/>
      <c r="L76" s="264" t="inlineStr">
        <is>
          <t>FROM HRSG #12 GATE VALVE</t>
        </is>
      </c>
      <c r="M76" s="263" t="n"/>
      <c r="N76" s="265" t="n"/>
      <c r="O76" s="265" t="n"/>
      <c r="P76" s="263" t="n"/>
      <c r="Q76" s="263" t="n"/>
      <c r="R76" s="263" t="n"/>
      <c r="S76" s="266" t="n"/>
      <c r="T76" s="267" t="n"/>
      <c r="U76" s="263" t="n"/>
      <c r="V76" s="267" t="n"/>
      <c r="W76" s="266" t="n"/>
      <c r="X76" s="263" t="n"/>
      <c r="Y76" s="263" t="inlineStr">
        <is>
          <t>MOTOR</t>
        </is>
      </c>
      <c r="Z76" s="263" t="n"/>
      <c r="AA76" s="266" t="inlineStr">
        <is>
          <t>MOV(GATE)</t>
        </is>
      </c>
      <c r="AB76" s="266" t="n"/>
      <c r="AC76" s="263" t="n"/>
      <c r="AD76" s="266" t="n"/>
      <c r="AE76" s="263" t="n"/>
      <c r="AF76" s="266" t="n"/>
      <c r="AG76" s="263" t="n"/>
      <c r="AH76" s="266" t="n"/>
      <c r="AI76" s="263" t="n"/>
      <c r="AJ76" s="263" t="n"/>
      <c r="AK76" s="263" t="n"/>
      <c r="AL76" s="263" t="n"/>
      <c r="AM76" s="263" t="inlineStr">
        <is>
          <t>[DESCRIPTION] 후보에서 골랐으나 근거가 약함 — 확인 필요 → 미처리</t>
        </is>
      </c>
    </row>
    <row r="77">
      <c r="A77" s="263" t="n">
        <v>70</v>
      </c>
      <c r="B77" s="263" t="inlineStr">
        <is>
          <t>D00P-10LBA30-M05-0001</t>
        </is>
      </c>
      <c r="C77" s="263" t="n"/>
      <c r="D77" s="263" t="n">
        <v>2</v>
      </c>
      <c r="E77" s="266" t="inlineStr">
        <is>
          <t>P&amp;ID FOR LP STEAM SYSTEM GROUP 10</t>
        </is>
      </c>
      <c r="F77" s="263" t="n"/>
      <c r="G77" s="263" t="n"/>
      <c r="H77" s="263" t="n"/>
      <c r="I77" s="263" t="n"/>
      <c r="J77" s="263" t="n"/>
      <c r="K77" s="263" t="n"/>
      <c r="L77" s="264" t="inlineStr">
        <is>
          <t>TO HRSG#12 BD TANK GLOBE VALVE</t>
        </is>
      </c>
      <c r="M77" s="263" t="n"/>
      <c r="N77" s="265" t="n"/>
      <c r="O77" s="265" t="n"/>
      <c r="P77" s="263" t="n"/>
      <c r="Q77" s="263" t="n"/>
      <c r="R77" s="263" t="n"/>
      <c r="S77" s="266" t="n"/>
      <c r="T77" s="267" t="n"/>
      <c r="U77" s="263" t="n"/>
      <c r="V77" s="267" t="n"/>
      <c r="W77" s="266" t="n"/>
      <c r="X77" s="263" t="n"/>
      <c r="Y77" s="263" t="inlineStr">
        <is>
          <t>MOTOR</t>
        </is>
      </c>
      <c r="Z77" s="263" t="n"/>
      <c r="AA77" s="266" t="inlineStr">
        <is>
          <t>MOV(GLOBE)</t>
        </is>
      </c>
      <c r="AB77" s="266" t="n"/>
      <c r="AC77" s="263" t="n"/>
      <c r="AD77" s="266" t="n"/>
      <c r="AE77" s="263" t="n"/>
      <c r="AF77" s="266" t="n"/>
      <c r="AG77" s="263" t="n"/>
      <c r="AH77" s="266" t="n"/>
      <c r="AI77" s="263" t="n"/>
      <c r="AJ77" s="263" t="n"/>
      <c r="AK77" s="263" t="n"/>
      <c r="AL77" s="263" t="n"/>
      <c r="AM77" s="263" t="inlineStr">
        <is>
          <t>판정축 ②b · 귀속 →HRSG#12 BD TANK</t>
        </is>
      </c>
    </row>
    <row r="78">
      <c r="A78" s="263" t="n">
        <v>71</v>
      </c>
      <c r="B78" s="263" t="inlineStr">
        <is>
          <t>D00P-00GKB10-M05-0001</t>
        </is>
      </c>
      <c r="C78" s="263" t="n"/>
      <c r="D78" s="263" t="n">
        <v>1</v>
      </c>
      <c r="E78" s="266" t="inlineStr">
        <is>
          <t>P&amp;ID FOR POTABLE WATER SUPPLY SYSTEM</t>
        </is>
      </c>
      <c r="F78" s="263" t="n"/>
      <c r="G78" s="263" t="n"/>
      <c r="H78" s="263" t="n"/>
      <c r="I78" s="263" t="n"/>
      <c r="J78" s="263" t="n"/>
      <c r="K78" s="263" t="n"/>
      <c r="L78" s="264" t="inlineStr">
        <is>
          <t>FROM POTABLE WATER GATE VALVE</t>
        </is>
      </c>
      <c r="M78" s="263" t="n"/>
      <c r="N78" s="265" t="n"/>
      <c r="O78" s="265" t="n"/>
      <c r="P78" s="263" t="n"/>
      <c r="Q78" s="263" t="n"/>
      <c r="R78" s="263" t="n"/>
      <c r="S78" s="266" t="n"/>
      <c r="T78" s="267" t="n"/>
      <c r="U78" s="263" t="n"/>
      <c r="V78" s="267" t="n"/>
      <c r="W78" s="266" t="n"/>
      <c r="X78" s="263" t="n"/>
      <c r="Y78" s="263" t="inlineStr">
        <is>
          <t>MOTOR</t>
        </is>
      </c>
      <c r="Z78" s="263" t="n"/>
      <c r="AA78" s="266" t="inlineStr">
        <is>
          <t>MOV(GATE)</t>
        </is>
      </c>
      <c r="AB78" s="266" t="n"/>
      <c r="AC78" s="263" t="n"/>
      <c r="AD78" s="266" t="n"/>
      <c r="AE78" s="263" t="n"/>
      <c r="AF78" s="266" t="n"/>
      <c r="AG78" s="263" t="n"/>
      <c r="AH78" s="266" t="n"/>
      <c r="AI78" s="263" t="n"/>
      <c r="AJ78" s="263" t="n"/>
      <c r="AK78" s="263" t="n"/>
      <c r="AL78" s="263" t="n"/>
      <c r="AM78" s="263" t="inlineStr">
        <is>
          <t>판정축 ②a · 귀속 POTABLE WATER→</t>
        </is>
      </c>
    </row>
    <row r="79">
      <c r="A79" s="263" t="n">
        <v>72</v>
      </c>
      <c r="B79" s="263" t="inlineStr">
        <is>
          <t>D00P-00PAB10-M05-0001</t>
        </is>
      </c>
      <c r="C79" s="263" t="n"/>
      <c r="D79" s="263" t="n">
        <v>1</v>
      </c>
      <c r="E79" s="266" t="inlineStr">
        <is>
          <t>P&amp;ID FOR SEAWATER INTAKE SYSTEM (1 OF 3)</t>
        </is>
      </c>
      <c r="F79" s="263" t="n"/>
      <c r="G79" s="263" t="n"/>
      <c r="H79" s="263" t="n"/>
      <c r="I79" s="263" t="n"/>
      <c r="J79" s="263" t="n"/>
      <c r="K79" s="263" t="n"/>
      <c r="L79" s="264" t="inlineStr">
        <is>
          <t>TO TRAVELING BAND SCREEN D BALL VALVE C</t>
        </is>
      </c>
      <c r="M79" s="263" t="n"/>
      <c r="N79" s="265" t="n"/>
      <c r="O79" s="265" t="n"/>
      <c r="P79" s="263" t="n"/>
      <c r="Q79" s="263" t="n"/>
      <c r="R79" s="263" t="n"/>
      <c r="S79" s="266" t="n"/>
      <c r="T79" s="267" t="n"/>
      <c r="U79" s="263" t="n"/>
      <c r="V79" s="267" t="n"/>
      <c r="W79" s="266" t="n"/>
      <c r="X79" s="263" t="n"/>
      <c r="Y79" s="263" t="inlineStr">
        <is>
          <t>MOTOR</t>
        </is>
      </c>
      <c r="Z79" s="263" t="n"/>
      <c r="AA79" s="266" t="inlineStr">
        <is>
          <t>BALL</t>
        </is>
      </c>
      <c r="AB79" s="266" t="n"/>
      <c r="AC79" s="263" t="n"/>
      <c r="AD79" s="266" t="n"/>
      <c r="AE79" s="263" t="n"/>
      <c r="AF79" s="266" t="n"/>
      <c r="AG79" s="263" t="n"/>
      <c r="AH79" s="266" t="n"/>
      <c r="AI79" s="263" t="n"/>
      <c r="AJ79" s="263" t="n"/>
      <c r="AK79" s="263" t="n"/>
      <c r="AL79" s="263" t="n"/>
      <c r="AM79" s="263" t="inlineStr">
        <is>
          <t>[DESCRIPTION] 후보에서 골랐으나 근거가 약함 — 확인 필요 → 미처리</t>
        </is>
      </c>
    </row>
    <row r="80">
      <c r="A80" s="263" t="n">
        <v>73</v>
      </c>
      <c r="B80" s="263" t="inlineStr">
        <is>
          <t>D00P-00PAB10-M05-0001</t>
        </is>
      </c>
      <c r="C80" s="263" t="n"/>
      <c r="D80" s="263" t="n">
        <v>1</v>
      </c>
      <c r="E80" s="266" t="inlineStr">
        <is>
          <t>P&amp;ID FOR SEAWATER INTAKE SYSTEM (1 OF 3)</t>
        </is>
      </c>
      <c r="F80" s="263" t="n"/>
      <c r="G80" s="263" t="n"/>
      <c r="H80" s="263" t="n"/>
      <c r="I80" s="263" t="n"/>
      <c r="J80" s="263" t="n"/>
      <c r="K80" s="263" t="n"/>
      <c r="L80" s="264" t="inlineStr">
        <is>
          <t>TO TRAVELING BAND SCREEN D BALL VALVE A</t>
        </is>
      </c>
      <c r="M80" s="263" t="n"/>
      <c r="N80" s="265" t="n"/>
      <c r="O80" s="265" t="n"/>
      <c r="P80" s="263" t="n"/>
      <c r="Q80" s="263" t="n"/>
      <c r="R80" s="263" t="n"/>
      <c r="S80" s="266" t="n"/>
      <c r="T80" s="267" t="n"/>
      <c r="U80" s="263" t="n"/>
      <c r="V80" s="267" t="n"/>
      <c r="W80" s="266" t="n"/>
      <c r="X80" s="263" t="n"/>
      <c r="Y80" s="263" t="inlineStr">
        <is>
          <t>MOTOR</t>
        </is>
      </c>
      <c r="Z80" s="263" t="n"/>
      <c r="AA80" s="266" t="inlineStr">
        <is>
          <t>BALL</t>
        </is>
      </c>
      <c r="AB80" s="266" t="n"/>
      <c r="AC80" s="263" t="n"/>
      <c r="AD80" s="266" t="n"/>
      <c r="AE80" s="263" t="n"/>
      <c r="AF80" s="266" t="n"/>
      <c r="AG80" s="263" t="n"/>
      <c r="AH80" s="266" t="n"/>
      <c r="AI80" s="263" t="n"/>
      <c r="AJ80" s="263" t="n"/>
      <c r="AK80" s="263" t="n"/>
      <c r="AL80" s="263" t="n"/>
      <c r="AM80" s="263" t="inlineStr">
        <is>
          <t>[DESCRIPTION] 후보에서 골랐으나 근거가 약함 — 확인 필요 → 미처리</t>
        </is>
      </c>
    </row>
    <row r="81">
      <c r="A81" s="263" t="n">
        <v>74</v>
      </c>
      <c r="B81" s="263" t="inlineStr">
        <is>
          <t>D00P-00PAB10-M05-0001</t>
        </is>
      </c>
      <c r="C81" s="263" t="n"/>
      <c r="D81" s="263" t="n">
        <v>1</v>
      </c>
      <c r="E81" s="266" t="inlineStr">
        <is>
          <t>P&amp;ID FOR SEAWATER INTAKE SYSTEM (1 OF 3)</t>
        </is>
      </c>
      <c r="F81" s="263" t="n"/>
      <c r="G81" s="263" t="n"/>
      <c r="H81" s="263" t="n"/>
      <c r="I81" s="263" t="n"/>
      <c r="J81" s="263" t="n"/>
      <c r="K81" s="263" t="n"/>
      <c r="L81" s="264" t="inlineStr">
        <is>
          <t>TO TRAVELING BAND SCREEN D BALL VALVE B</t>
        </is>
      </c>
      <c r="M81" s="263" t="n"/>
      <c r="N81" s="265" t="n"/>
      <c r="O81" s="265" t="n"/>
      <c r="P81" s="263" t="n"/>
      <c r="Q81" s="263" t="n"/>
      <c r="R81" s="263" t="n"/>
      <c r="S81" s="266" t="n"/>
      <c r="T81" s="267" t="n"/>
      <c r="U81" s="263" t="n"/>
      <c r="V81" s="267" t="n"/>
      <c r="W81" s="266" t="n"/>
      <c r="X81" s="263" t="n"/>
      <c r="Y81" s="263" t="inlineStr">
        <is>
          <t>MOTOR</t>
        </is>
      </c>
      <c r="Z81" s="263" t="n"/>
      <c r="AA81" s="266" t="inlineStr">
        <is>
          <t>BALL</t>
        </is>
      </c>
      <c r="AB81" s="266" t="n"/>
      <c r="AC81" s="263" t="n"/>
      <c r="AD81" s="266" t="n"/>
      <c r="AE81" s="263" t="n"/>
      <c r="AF81" s="266" t="n"/>
      <c r="AG81" s="263" t="n"/>
      <c r="AH81" s="266" t="n"/>
      <c r="AI81" s="263" t="n"/>
      <c r="AJ81" s="263" t="n"/>
      <c r="AK81" s="263" t="n"/>
      <c r="AL81" s="263" t="n"/>
      <c r="AM81" s="263" t="inlineStr">
        <is>
          <t>[DESCRIPTION] 후보에서 골랐으나 근거가 약함 — 확인 필요 → 미처리</t>
        </is>
      </c>
    </row>
    <row r="82">
      <c r="A82" s="263" t="n">
        <v>75</v>
      </c>
      <c r="B82" s="263" t="inlineStr">
        <is>
          <t>D00P-00GHB10-M05-0001</t>
        </is>
      </c>
      <c r="C82" s="263" t="n"/>
      <c r="D82" s="263" t="n">
        <v>1</v>
      </c>
      <c r="E82" s="266" t="inlineStr">
        <is>
          <t>P&amp;ID FOR SERVICE WATER DISTRIBUTION SYSTEM (1 OF 2)</t>
        </is>
      </c>
      <c r="F82" s="263" t="n"/>
      <c r="G82" s="263" t="n"/>
      <c r="H82" s="263" t="n"/>
      <c r="I82" s="263" t="n"/>
      <c r="J82" s="263" t="n"/>
      <c r="K82" s="263" t="n"/>
      <c r="L82" s="264" t="n"/>
      <c r="M82" s="263" t="n"/>
      <c r="N82" s="265" t="n"/>
      <c r="O82" s="265" t="n"/>
      <c r="P82" s="263" t="n"/>
      <c r="Q82" s="263" t="n"/>
      <c r="R82" s="263" t="n"/>
      <c r="S82" s="266" t="n"/>
      <c r="T82" s="267" t="n"/>
      <c r="U82" s="263" t="n"/>
      <c r="V82" s="267" t="n"/>
      <c r="W82" s="266" t="n"/>
      <c r="X82" s="263" t="n"/>
      <c r="Y82" s="263" t="inlineStr">
        <is>
          <t>MOTOR</t>
        </is>
      </c>
      <c r="Z82" s="263" t="n"/>
      <c r="AA82" s="266" t="inlineStr">
        <is>
          <t>MOV(GATE)</t>
        </is>
      </c>
      <c r="AB82" s="266" t="n"/>
      <c r="AC82" s="263" t="n"/>
      <c r="AD82" s="266" t="n"/>
      <c r="AE82" s="263" t="n"/>
      <c r="AF82" s="266" t="n"/>
      <c r="AG82" s="263" t="n"/>
      <c r="AH82" s="266" t="n"/>
      <c r="AI82" s="263" t="n"/>
      <c r="AJ82" s="263" t="n"/>
      <c r="AK82" s="263" t="n"/>
      <c r="AL82" s="263" t="n"/>
      <c r="AM82" s="263" t="inlineStr">
        <is>
          <t>[DESCRIPTION] 근거 없음 — 직접 입력 → 미처리</t>
        </is>
      </c>
    </row>
    <row r="83">
      <c r="A83" s="263" t="n">
        <v>76</v>
      </c>
      <c r="B83" s="263" t="inlineStr">
        <is>
          <t>D00P-00GHB10-M05-0001</t>
        </is>
      </c>
      <c r="C83" s="263" t="n"/>
      <c r="D83" s="263" t="n">
        <v>1</v>
      </c>
      <c r="E83" s="266" t="inlineStr">
        <is>
          <t>P&amp;ID FOR SERVICE WATER DISTRIBUTION SYSTEM (1 OF 2)</t>
        </is>
      </c>
      <c r="F83" s="263" t="n"/>
      <c r="G83" s="263" t="n"/>
      <c r="H83" s="263" t="n"/>
      <c r="I83" s="263" t="n"/>
      <c r="J83" s="263" t="n"/>
      <c r="K83" s="263" t="n"/>
      <c r="L83" s="264" t="inlineStr">
        <is>
          <t>FROM DESALINATION PLANT GATE VALVE</t>
        </is>
      </c>
      <c r="M83" s="263" t="n"/>
      <c r="N83" s="265" t="n"/>
      <c r="O83" s="265" t="n"/>
      <c r="P83" s="263" t="n"/>
      <c r="Q83" s="263" t="n"/>
      <c r="R83" s="263" t="n"/>
      <c r="S83" s="266" t="n"/>
      <c r="T83" s="267" t="n"/>
      <c r="U83" s="263" t="n"/>
      <c r="V83" s="267" t="n"/>
      <c r="W83" s="266" t="n"/>
      <c r="X83" s="263" t="n"/>
      <c r="Y83" s="263" t="inlineStr">
        <is>
          <t>MOTOR</t>
        </is>
      </c>
      <c r="Z83" s="263" t="n"/>
      <c r="AA83" s="266" t="inlineStr">
        <is>
          <t>MOV(GATE)</t>
        </is>
      </c>
      <c r="AB83" s="266" t="n"/>
      <c r="AC83" s="263" t="n"/>
      <c r="AD83" s="266" t="n"/>
      <c r="AE83" s="263" t="n"/>
      <c r="AF83" s="266" t="n"/>
      <c r="AG83" s="263" t="n"/>
      <c r="AH83" s="266" t="n"/>
      <c r="AI83" s="263" t="n"/>
      <c r="AJ83" s="263" t="n"/>
      <c r="AK83" s="263" t="n"/>
      <c r="AL83" s="263" t="n"/>
      <c r="AM83" s="263" t="inlineStr">
        <is>
          <t>판정축 ②a · 귀속 DESALINATION PLANT→</t>
        </is>
      </c>
    </row>
    <row r="84"/>
    <row r="85">
      <c r="A85" s="186" t="inlineStr">
        <is>
          <t>Note)</t>
        </is>
      </c>
      <c r="B85" s="187" t="n"/>
      <c r="L85" s="0" t="n"/>
    </row>
    <row r="86">
      <c r="A86" s="186" t="inlineStr">
        <is>
          <t>1. REFER TO ATTACHED REQUREMENT AND SPECIFICATION.</t>
        </is>
      </c>
      <c r="B86" s="187" t="n"/>
      <c r="L86" s="0" t="n"/>
    </row>
    <row r="87">
      <c r="A87" s="186" t="inlineStr">
        <is>
          <t>2. LEAKAGE CLASS: API 598</t>
        </is>
      </c>
      <c r="B87" s="187" t="n"/>
      <c r="L87" s="0" t="n"/>
    </row>
    <row r="88">
      <c r="A88" s="186" t="inlineStr">
        <is>
          <t>3. ENCLOSURE CLASS : IP67</t>
        </is>
      </c>
      <c r="B88" s="187" t="n"/>
      <c r="L88" s="0" t="n"/>
    </row>
    <row r="89">
      <c r="A89" s="186" t="inlineStr">
        <is>
          <t>4. ACTUATOR SHALL BE FITTED WITH A HANDWHEEL</t>
        </is>
      </c>
      <c r="B89" s="187" t="n"/>
      <c r="L89" s="0" t="n"/>
    </row>
    <row r="90">
      <c r="A90" s="186" t="inlineStr">
        <is>
          <t>5. ALL SIGNAL SHALL BE INTERFACED WITH DCS AS HARDWIRING</t>
        </is>
      </c>
      <c r="B90" s="187" t="n"/>
      <c r="L90" s="0" t="n"/>
    </row>
    <row r="91">
      <c r="A91" s="186" t="inlineStr">
        <is>
          <t xml:space="preserve">6. Each actuaotr shall be Factory Tested accroding to IEC standards with inspection report. </t>
        </is>
      </c>
      <c r="B91" s="187" t="n"/>
      <c r="L91" s="0" t="n"/>
    </row>
    <row r="92">
      <c r="A92" s="188" t="inlineStr">
        <is>
          <t>A final inspection record shall be supplied with each actuator.</t>
        </is>
      </c>
      <c r="B92" s="187" t="n"/>
      <c r="L92" s="0" t="n"/>
    </row>
    <row r="93">
      <c r="A93" s="188" t="inlineStr">
        <is>
          <t xml:space="preserve">This shall include the following information on general actuator data, nominal current, no load current, starting current, power factor at rated torque, output speed, torque setting, limit setting (turns/stroke), high voltage test, functional test (including all options) and visual inspection. </t>
        </is>
      </c>
      <c r="B93" s="187" t="n"/>
      <c r="L93" s="0" t="n"/>
    </row>
    <row r="94">
      <c r="A94" s="0" t="inlineStr">
        <is>
          <t>9. Noise Level Limit : &lt; 80 dB(A)</t>
        </is>
      </c>
      <c r="L94" s="0" t="n"/>
    </row>
    <row r="95">
      <c r="A95" s="0" t="inlineStr">
        <is>
          <t>10. Actuator torque shall be calculated based on 125% of Design Pressure.</t>
        </is>
      </c>
      <c r="L95" s="0" t="n"/>
    </row>
    <row r="96">
      <c r="A96" s="0" t="inlineStr">
        <is>
          <t>11. Cable gland, cable gland adaptor and plug shall be provided for Purchaser's cable connection.</t>
        </is>
      </c>
      <c r="L96" s="0" t="n"/>
    </row>
  </sheetData>
  <autoFilter ref="A7:AM83"/>
  <mergeCells count="29">
    <mergeCell ref="AG6:AG7"/>
    <mergeCell ref="AL6:AL7"/>
    <mergeCell ref="H6:H7"/>
    <mergeCell ref="J6:J7"/>
    <mergeCell ref="P6:P7"/>
    <mergeCell ref="AI6:AI7"/>
    <mergeCell ref="A6:A7"/>
    <mergeCell ref="V6:V7"/>
    <mergeCell ref="X6:X7"/>
    <mergeCell ref="AF6:AF7"/>
    <mergeCell ref="AD6:AE6"/>
    <mergeCell ref="W6:W7"/>
    <mergeCell ref="G6:G7"/>
    <mergeCell ref="M6:M7"/>
    <mergeCell ref="E6:E7"/>
    <mergeCell ref="AH6:AH7"/>
    <mergeCell ref="B6:B7"/>
    <mergeCell ref="AJ6:AJ7"/>
    <mergeCell ref="AK6:AK7"/>
    <mergeCell ref="AM6:AM7"/>
    <mergeCell ref="Y6:AC6"/>
    <mergeCell ref="Q6:U6"/>
    <mergeCell ref="L6:L7"/>
    <mergeCell ref="N6:O6"/>
    <mergeCell ref="I6:I7"/>
    <mergeCell ref="K6:K7"/>
    <mergeCell ref="C6:C7"/>
    <mergeCell ref="D6:D7"/>
    <mergeCell ref="F6:F7"/>
  </mergeCells>
  <dataValidations disablePrompts="1" count="2">
    <dataValidation sqref="M1:M7 M71 M84:M1048576" showDropDown="0" showInputMessage="1" showErrorMessage="1" allowBlank="1" type="list">
      <formula1>OFFSET(#REF!,MATCH($B1,#REF!,0)-1,1,COUNTIF(#REF!,$B1),1)</formula1>
    </dataValidation>
    <dataValidation sqref="AA1:AA71 AA84:AA1048576" showDropDown="0" showInputMessage="1" showErrorMessage="1" allowBlank="1" type="list">
      <formula1>"GATE, GLOBE, BUTTERFLY, BALL"</formula1>
    </dataValidation>
  </dataValidations>
  <pageMargins left="0.7" right="0.7" top="0.75" bottom="0.75" header="0.3" footer="0.3"/>
  <pageSetup orientation="portrait" paperSize="9" verticalDpi="1200"/>
</worksheet>
</file>

<file path=xl/worksheets/sheet2.xml><?xml version="1.0" encoding="utf-8"?>
<worksheet xmlns="http://schemas.openxmlformats.org/spreadsheetml/2006/main">
  <sheetPr codeName="Sheet18"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6.5"/>
  <cols>
    <col width="16.125" customWidth="1" style="247" min="1" max="2"/>
    <col width="40.625" customWidth="1" style="270" min="3" max="3"/>
    <col width="10.625" customWidth="1" style="247" min="4" max="5"/>
    <col width="10.625" customWidth="1" style="3" min="6" max="6"/>
    <col width="10.625" customWidth="1" style="247" min="7" max="8"/>
    <col width="9" customWidth="1" style="3" min="9" max="9"/>
    <col width="9" customWidth="1" style="3" min="11" max="11"/>
    <col width="19.875" customWidth="1" style="247" min="13" max="13"/>
    <col width="23.875" customWidth="1" style="247" min="14" max="14"/>
  </cols>
  <sheetData>
    <row r="1" ht="17.25" customHeight="1" s="247" thickBot="1">
      <c r="B1" s="0" t="n">
        <v>1</v>
      </c>
      <c r="C1" s="270" t="n">
        <v>2</v>
      </c>
      <c r="D1" s="0" t="n">
        <v>3</v>
      </c>
      <c r="E1" s="0" t="n">
        <v>4</v>
      </c>
      <c r="F1" s="3" t="n">
        <v>5</v>
      </c>
      <c r="G1" s="0" t="n">
        <v>6</v>
      </c>
      <c r="H1" s="0" t="n">
        <v>7</v>
      </c>
      <c r="I1" s="3" t="n">
        <v>8</v>
      </c>
      <c r="J1" s="0" t="n">
        <v>9</v>
      </c>
      <c r="K1" s="3" t="n">
        <v>10</v>
      </c>
      <c r="L1" s="0" t="n">
        <v>11</v>
      </c>
      <c r="M1" s="0" t="inlineStr">
        <is>
          <t>Field IO</t>
        </is>
      </c>
    </row>
    <row r="2" ht="52.5" customHeight="1" s="247" thickBot="1">
      <c r="E2" s="36" t="inlineStr">
        <is>
          <t>PKG Interface / Field - DCS IO</t>
        </is>
      </c>
      <c r="F2" s="86" t="n"/>
      <c r="G2" s="37" t="n"/>
      <c r="H2" s="38" t="n"/>
      <c r="I2" s="92" t="inlineStr">
        <is>
          <t>SWGR/MCC Interface IO</t>
        </is>
      </c>
      <c r="J2" s="39" t="n"/>
      <c r="K2" s="96" t="n"/>
      <c r="L2" s="40" t="n"/>
      <c r="M2" s="70" t="inlineStr">
        <is>
          <t>to VMS / Vibration(Triad)
Gas Detector(Triad)</t>
        </is>
      </c>
    </row>
    <row r="3" ht="41.25" customHeight="1" s="247">
      <c r="A3" s="140" t="n"/>
      <c r="B3" s="107" t="inlineStr">
        <is>
          <t>PKG Q'ty</t>
        </is>
      </c>
      <c r="C3" s="271" t="inlineStr">
        <is>
          <t>PACKAGE</t>
        </is>
      </c>
      <c r="D3" s="108" t="inlineStr">
        <is>
          <t>TYPE</t>
        </is>
      </c>
      <c r="E3" s="109" t="inlineStr">
        <is>
          <t>AI</t>
        </is>
      </c>
      <c r="F3" s="110" t="inlineStr">
        <is>
          <t>AO</t>
        </is>
      </c>
      <c r="G3" s="111" t="inlineStr">
        <is>
          <t>DI</t>
        </is>
      </c>
      <c r="H3" s="112" t="inlineStr">
        <is>
          <t>DO</t>
        </is>
      </c>
      <c r="I3" s="113" t="inlineStr">
        <is>
          <t>AI</t>
        </is>
      </c>
      <c r="J3" s="111" t="inlineStr">
        <is>
          <t>AO</t>
        </is>
      </c>
      <c r="K3" s="110" t="inlineStr">
        <is>
          <t>DI</t>
        </is>
      </c>
      <c r="L3" s="112" t="inlineStr">
        <is>
          <t>DO</t>
        </is>
      </c>
      <c r="M3" s="114" t="inlineStr">
        <is>
          <t>AI</t>
        </is>
      </c>
    </row>
    <row r="4">
      <c r="A4" s="139" t="n"/>
      <c r="B4" s="41" t="n"/>
      <c r="C4" s="272" t="inlineStr">
        <is>
          <t>GT TCS #10</t>
        </is>
      </c>
      <c r="D4" s="42" t="inlineStr">
        <is>
          <t>TCS</t>
        </is>
      </c>
      <c r="E4" s="78" t="n"/>
      <c r="F4" s="87" t="n"/>
      <c r="G4" s="78" t="n"/>
      <c r="H4" s="78" t="n"/>
      <c r="I4" s="93" t="n"/>
      <c r="J4" s="45" t="n"/>
      <c r="K4" s="97" t="n"/>
      <c r="L4" s="46" t="n"/>
      <c r="M4" s="71" t="n"/>
    </row>
    <row r="5">
      <c r="A5" s="139" t="n"/>
      <c r="B5" s="41" t="n"/>
      <c r="C5" s="272" t="inlineStr">
        <is>
          <t>ST TCS #10</t>
        </is>
      </c>
      <c r="D5" s="42" t="inlineStr">
        <is>
          <t>TCS</t>
        </is>
      </c>
      <c r="E5" s="78" t="n"/>
      <c r="F5" s="87" t="n"/>
      <c r="G5" s="78" t="n"/>
      <c r="H5" s="78" t="n"/>
      <c r="I5" s="93" t="n"/>
      <c r="J5" s="45" t="n"/>
      <c r="K5" s="97" t="n"/>
      <c r="L5" s="46" t="n"/>
      <c r="M5" s="71" t="n"/>
    </row>
    <row r="6" ht="35.1" customHeight="1" s="247">
      <c r="A6" s="139" t="n"/>
      <c r="B6" s="41" t="n"/>
      <c r="C6" s="272" t="inlineStr">
        <is>
          <t>CEMS #10</t>
        </is>
      </c>
      <c r="D6" s="42" t="inlineStr">
        <is>
          <t>PLC</t>
        </is>
      </c>
      <c r="E6" s="78" t="n"/>
      <c r="F6" s="87" t="n"/>
      <c r="G6" s="78" t="n"/>
      <c r="H6" s="78" t="n"/>
      <c r="I6" s="93" t="n"/>
      <c r="J6" s="45" t="n"/>
      <c r="K6" s="97" t="n"/>
      <c r="L6" s="46" t="n"/>
      <c r="M6" s="71" t="n"/>
    </row>
    <row r="7">
      <c r="A7" s="139" t="n"/>
      <c r="B7" s="41" t="n"/>
      <c r="C7" s="272" t="inlineStr">
        <is>
          <t>VMS (MEB) #10</t>
        </is>
      </c>
      <c r="D7" s="42" t="inlineStr">
        <is>
          <t>VMS</t>
        </is>
      </c>
      <c r="E7" s="78" t="n"/>
      <c r="F7" s="87" t="n"/>
      <c r="G7" s="78" t="n"/>
      <c r="H7" s="78" t="n"/>
      <c r="I7" s="93" t="n"/>
      <c r="J7" s="45" t="n"/>
      <c r="K7" s="97" t="n"/>
      <c r="L7" s="46" t="n"/>
      <c r="M7" s="71" t="n"/>
    </row>
    <row r="8">
      <c r="A8" s="139" t="n"/>
      <c r="B8" s="41" t="n"/>
      <c r="C8" s="272" t="inlineStr">
        <is>
          <t>VMS (CT LEB) #10</t>
        </is>
      </c>
      <c r="D8" s="42" t="inlineStr">
        <is>
          <t>VMS</t>
        </is>
      </c>
      <c r="E8" s="78" t="n"/>
      <c r="F8" s="87" t="n"/>
      <c r="G8" s="78" t="n"/>
      <c r="H8" s="78" t="n"/>
      <c r="I8" s="93" t="n"/>
      <c r="J8" s="45" t="n"/>
      <c r="K8" s="97" t="n"/>
      <c r="L8" s="46" t="n"/>
      <c r="M8" s="71" t="n"/>
    </row>
    <row r="9">
      <c r="A9" s="139" t="n"/>
      <c r="B9" s="41" t="n"/>
      <c r="C9" s="272" t="inlineStr">
        <is>
          <t>VMS (CCR)</t>
        </is>
      </c>
      <c r="D9" s="42" t="inlineStr">
        <is>
          <t>VMS</t>
        </is>
      </c>
      <c r="E9" s="78" t="n"/>
      <c r="F9" s="87" t="n"/>
      <c r="G9" s="78" t="n"/>
      <c r="H9" s="78" t="n"/>
      <c r="I9" s="93" t="n"/>
      <c r="J9" s="45" t="n"/>
      <c r="K9" s="97" t="n"/>
      <c r="L9" s="46" t="n"/>
      <c r="M9" s="71" t="n"/>
    </row>
    <row r="10">
      <c r="A10" s="139" t="n"/>
      <c r="B10" s="41" t="n"/>
      <c r="C10" s="272" t="inlineStr">
        <is>
          <t>Intake System PLC</t>
        </is>
      </c>
      <c r="D10" s="42" t="inlineStr">
        <is>
          <t>PLC</t>
        </is>
      </c>
      <c r="E10" s="78" t="n"/>
      <c r="F10" s="87" t="n"/>
      <c r="G10" s="78" t="n"/>
      <c r="H10" s="78" t="n"/>
      <c r="I10" s="93" t="n"/>
      <c r="J10" s="45" t="n"/>
      <c r="K10" s="97" t="n"/>
      <c r="L10" s="46" t="n"/>
      <c r="M10" s="71" t="n"/>
    </row>
    <row r="11">
      <c r="A11" s="139" t="n"/>
      <c r="B11" s="41" t="n"/>
      <c r="C11" s="272" t="inlineStr">
        <is>
          <t>Tube Cleaning System for Condenser</t>
        </is>
      </c>
      <c r="D11" s="42" t="inlineStr">
        <is>
          <t>PLC</t>
        </is>
      </c>
      <c r="E11" s="78" t="n"/>
      <c r="F11" s="87" t="n"/>
      <c r="G11" s="78" t="n"/>
      <c r="H11" s="78" t="n"/>
      <c r="I11" s="93" t="n"/>
      <c r="J11" s="45" t="n"/>
      <c r="K11" s="97" t="n"/>
      <c r="L11" s="46" t="n"/>
      <c r="M11" s="71" t="n"/>
    </row>
    <row r="12">
      <c r="A12" s="139" t="n"/>
      <c r="B12" s="41" t="n"/>
      <c r="C12" s="272" t="inlineStr">
        <is>
          <t>Tube Cleaning System for CCW</t>
        </is>
      </c>
      <c r="D12" s="42" t="inlineStr">
        <is>
          <t>PLC</t>
        </is>
      </c>
      <c r="E12" s="78" t="n"/>
      <c r="F12" s="87" t="n"/>
      <c r="G12" s="78" t="n"/>
      <c r="H12" s="78" t="n"/>
      <c r="I12" s="93" t="n"/>
      <c r="J12" s="45" t="n"/>
      <c r="K12" s="97" t="n"/>
      <c r="L12" s="46" t="n"/>
      <c r="M12" s="71" t="n"/>
    </row>
    <row r="13">
      <c r="A13" s="139" t="n"/>
      <c r="B13" s="41" t="n"/>
      <c r="C13" s="272" t="inlineStr">
        <is>
          <t>Air Compressor</t>
        </is>
      </c>
      <c r="D13" s="42" t="inlineStr">
        <is>
          <t>PLC</t>
        </is>
      </c>
      <c r="E13" s="78" t="n"/>
      <c r="F13" s="87" t="n"/>
      <c r="G13" s="78" t="n"/>
      <c r="H13" s="78" t="n"/>
      <c r="I13" s="93" t="n"/>
      <c r="J13" s="45" t="n"/>
      <c r="K13" s="97" t="n"/>
      <c r="L13" s="46" t="n"/>
      <c r="M13" s="71" t="n"/>
    </row>
    <row r="14">
      <c r="A14" s="139" t="n"/>
      <c r="B14" s="41" t="n"/>
      <c r="C14" s="272" t="inlineStr">
        <is>
          <t>HRSG PLC</t>
        </is>
      </c>
      <c r="D14" s="42" t="inlineStr">
        <is>
          <t>PLC</t>
        </is>
      </c>
      <c r="E14" s="273" t="n"/>
      <c r="F14" s="88" t="n"/>
      <c r="G14" s="274" t="n"/>
      <c r="H14" s="275" t="n"/>
      <c r="I14" s="93" t="n"/>
      <c r="J14" s="45" t="n"/>
      <c r="K14" s="97" t="n"/>
      <c r="L14" s="46" t="n"/>
      <c r="M14" s="71" t="n"/>
    </row>
    <row r="15">
      <c r="A15" s="139" t="n"/>
      <c r="B15" s="41" t="n"/>
      <c r="C15" s="276" t="inlineStr">
        <is>
          <t>WTP</t>
        </is>
      </c>
      <c r="D15" s="42" t="inlineStr">
        <is>
          <t>PLC</t>
        </is>
      </c>
      <c r="E15" s="277" t="n"/>
      <c r="F15" s="89" t="n"/>
      <c r="G15" s="278" t="n"/>
      <c r="H15" s="279" t="n"/>
      <c r="I15" s="94" t="n"/>
      <c r="J15" s="82" t="n"/>
      <c r="K15" s="98" t="n"/>
      <c r="L15" s="83" t="n"/>
      <c r="M15" s="84" t="n"/>
    </row>
    <row r="16">
      <c r="A16" s="139" t="n"/>
      <c r="B16" s="41" t="n"/>
      <c r="C16" s="276" t="inlineStr">
        <is>
          <t>WWT</t>
        </is>
      </c>
      <c r="D16" s="42" t="inlineStr">
        <is>
          <t>PLC</t>
        </is>
      </c>
      <c r="E16" s="277" t="n"/>
      <c r="F16" s="89" t="n"/>
      <c r="G16" s="278" t="n"/>
      <c r="H16" s="279" t="n"/>
      <c r="I16" s="94" t="n"/>
      <c r="J16" s="82" t="n"/>
      <c r="K16" s="98" t="n"/>
      <c r="L16" s="83" t="n"/>
      <c r="M16" s="84" t="n"/>
    </row>
    <row r="17">
      <c r="A17" s="139" t="n"/>
      <c r="B17" s="41" t="n"/>
      <c r="C17" s="276" t="inlineStr">
        <is>
          <t xml:space="preserve">Gas Chlorination System  </t>
        </is>
      </c>
      <c r="D17" s="42" t="inlineStr">
        <is>
          <t>PLC</t>
        </is>
      </c>
      <c r="E17" s="277" t="n"/>
      <c r="F17" s="89" t="n"/>
      <c r="G17" s="278" t="n"/>
      <c r="H17" s="279" t="n"/>
      <c r="I17" s="94" t="n"/>
      <c r="J17" s="82" t="n"/>
      <c r="K17" s="98" t="n"/>
      <c r="L17" s="83" t="n"/>
      <c r="M17" s="84" t="n"/>
    </row>
    <row r="18">
      <c r="A18" s="139" t="n"/>
      <c r="B18" s="41" t="n"/>
      <c r="C18" s="276" t="inlineStr">
        <is>
          <t>CPP</t>
        </is>
      </c>
      <c r="D18" s="42" t="inlineStr">
        <is>
          <t>PLC</t>
        </is>
      </c>
      <c r="E18" s="277" t="n"/>
      <c r="F18" s="89" t="n"/>
      <c r="G18" s="278" t="n"/>
      <c r="H18" s="279" t="n"/>
      <c r="I18" s="94" t="n"/>
      <c r="J18" s="82" t="n"/>
      <c r="K18" s="98" t="n"/>
      <c r="L18" s="83" t="n"/>
      <c r="M18" s="84" t="n"/>
    </row>
    <row r="19">
      <c r="A19" s="139" t="n"/>
      <c r="B19" s="41" t="n"/>
      <c r="C19" s="272" t="inlineStr">
        <is>
          <t>DCS</t>
        </is>
      </c>
      <c r="D19" s="42" t="inlineStr">
        <is>
          <t>DCS</t>
        </is>
      </c>
      <c r="E19" s="273" t="n"/>
      <c r="F19" s="88" t="n"/>
      <c r="G19" s="274" t="n"/>
      <c r="H19" s="275" t="n"/>
      <c r="I19" s="93" t="n"/>
      <c r="J19" s="45" t="n"/>
      <c r="K19" s="97" t="n"/>
      <c r="L19" s="46" t="n"/>
      <c r="M19" s="71" t="n"/>
    </row>
    <row r="20">
      <c r="A20" s="139" t="n"/>
      <c r="B20" s="41" t="n"/>
      <c r="C20" s="276" t="inlineStr">
        <is>
          <t>GIS</t>
        </is>
      </c>
      <c r="D20" s="85" t="inlineStr">
        <is>
          <t>PLC</t>
        </is>
      </c>
      <c r="E20" s="277" t="n"/>
      <c r="F20" s="89" t="n"/>
      <c r="G20" s="278" t="n"/>
      <c r="H20" s="279" t="n"/>
      <c r="I20" s="94" t="n"/>
      <c r="J20" s="82" t="n"/>
      <c r="K20" s="98" t="n"/>
      <c r="L20" s="83" t="n"/>
      <c r="M20" s="84" t="n"/>
    </row>
    <row r="21">
      <c r="A21" s="139" t="n"/>
      <c r="B21" s="100" t="n"/>
      <c r="C21" s="280" t="inlineStr">
        <is>
          <t>CWMU Chlorination System</t>
        </is>
      </c>
      <c r="D21" s="85" t="inlineStr">
        <is>
          <t>PLC</t>
        </is>
      </c>
      <c r="E21" s="277" t="n"/>
      <c r="F21" s="89" t="n"/>
      <c r="G21" s="278" t="n"/>
      <c r="H21" s="279" t="n"/>
      <c r="I21" s="94" t="n"/>
      <c r="J21" s="82" t="n"/>
      <c r="K21" s="98" t="n"/>
      <c r="L21" s="83" t="n"/>
      <c r="M21" s="84" t="n"/>
    </row>
    <row r="22">
      <c r="A22" s="139" t="n"/>
      <c r="B22" s="100" t="n"/>
      <c r="C22" s="280" t="inlineStr">
        <is>
          <t>CT Chlorination System</t>
        </is>
      </c>
      <c r="D22" s="85" t="inlineStr">
        <is>
          <t>PLC</t>
        </is>
      </c>
      <c r="E22" s="277" t="n"/>
      <c r="F22" s="89" t="n"/>
      <c r="G22" s="278" t="n"/>
      <c r="H22" s="279" t="n"/>
      <c r="I22" s="94" t="n"/>
      <c r="J22" s="82" t="n"/>
      <c r="K22" s="98" t="n"/>
      <c r="L22" s="83" t="n"/>
      <c r="M22" s="84" t="n"/>
    </row>
    <row r="23" ht="17.25" customHeight="1" s="247" thickBot="1">
      <c r="A23" s="138" t="n"/>
      <c r="B23" s="47" t="n"/>
      <c r="C23" s="281" t="n"/>
      <c r="D23" s="48" t="n"/>
      <c r="E23" s="282" t="n"/>
      <c r="F23" s="90" t="n"/>
      <c r="G23" s="283" t="n"/>
      <c r="H23" s="284" t="n"/>
      <c r="I23" s="95" t="n"/>
      <c r="J23" s="51" t="n"/>
      <c r="K23" s="99" t="n"/>
      <c r="L23" s="52" t="n"/>
      <c r="M23" s="72" t="n"/>
      <c r="N23" s="53" t="inlineStr">
        <is>
          <t>↑ Control System 적용 PKG</t>
        </is>
      </c>
    </row>
    <row r="24">
      <c r="A24" s="140" t="n"/>
      <c r="B24" s="115" t="n"/>
      <c r="C24" s="285" t="inlineStr">
        <is>
          <t>GT TCS #10</t>
        </is>
      </c>
      <c r="D24" s="116" t="n"/>
      <c r="E24" s="286" t="n">
        <v>11</v>
      </c>
      <c r="F24" s="118" t="n">
        <v>5</v>
      </c>
      <c r="G24" s="287" t="n">
        <v>19</v>
      </c>
      <c r="H24" s="288" t="n">
        <v>19</v>
      </c>
      <c r="I24" s="121" t="n"/>
      <c r="J24" s="122" t="n"/>
      <c r="K24" s="123" t="n"/>
      <c r="L24" s="124" t="n"/>
      <c r="M24" s="125" t="n"/>
    </row>
    <row r="25">
      <c r="A25" s="126" t="n"/>
      <c r="B25" s="54" t="n"/>
      <c r="C25" s="289" t="inlineStr">
        <is>
          <t>ST TCS #10</t>
        </is>
      </c>
      <c r="D25" s="55" t="n"/>
      <c r="E25" s="290" t="n">
        <v>17</v>
      </c>
      <c r="F25" s="91" t="n">
        <v>0</v>
      </c>
      <c r="G25" s="291" t="n">
        <v>10</v>
      </c>
      <c r="H25" s="292" t="n">
        <v>13</v>
      </c>
      <c r="I25" s="101" t="n"/>
      <c r="J25" s="102" t="n"/>
      <c r="K25" s="103" t="n"/>
      <c r="L25" s="104" t="n"/>
      <c r="M25" s="105" t="n"/>
    </row>
    <row r="26">
      <c r="A26" s="126" t="n"/>
      <c r="B26" s="54" t="n"/>
      <c r="C26" s="289" t="inlineStr">
        <is>
          <t>CEMS #10</t>
        </is>
      </c>
      <c r="D26" s="55" t="n"/>
      <c r="E26" s="290" t="n">
        <v>9</v>
      </c>
      <c r="F26" s="91" t="n"/>
      <c r="G26" s="291" t="n">
        <v>3</v>
      </c>
      <c r="H26" s="292" t="n"/>
      <c r="I26" s="101" t="n"/>
      <c r="J26" s="102" t="n"/>
      <c r="K26" s="103" t="n"/>
      <c r="L26" s="104" t="n"/>
      <c r="M26" s="105" t="n"/>
    </row>
    <row r="27">
      <c r="A27" s="126" t="n"/>
      <c r="B27" s="54" t="n"/>
      <c r="C27" s="289" t="inlineStr">
        <is>
          <t>SWAS for HRSG #10</t>
        </is>
      </c>
      <c r="D27" s="55" t="n"/>
      <c r="E27" s="290" t="n">
        <v>62</v>
      </c>
      <c r="F27" s="91" t="n"/>
      <c r="G27" s="291" t="n">
        <v>5</v>
      </c>
      <c r="H27" s="292" t="n">
        <v>9</v>
      </c>
      <c r="I27" s="101" t="n"/>
      <c r="J27" s="102" t="n"/>
      <c r="K27" s="103" t="n"/>
      <c r="L27" s="104" t="n"/>
      <c r="M27" s="105" t="n"/>
    </row>
    <row r="28">
      <c r="A28" s="126" t="n"/>
      <c r="B28" s="54" t="n"/>
      <c r="C28" s="289" t="inlineStr">
        <is>
          <t>Condenser Tube Leak Detection#10</t>
        </is>
      </c>
      <c r="D28" s="55" t="n"/>
      <c r="E28" s="290" t="n">
        <v>4</v>
      </c>
      <c r="F28" s="91" t="n"/>
      <c r="G28" s="291" t="n">
        <v>1</v>
      </c>
      <c r="H28" s="292" t="n"/>
      <c r="I28" s="101" t="n"/>
      <c r="J28" s="102" t="n"/>
      <c r="K28" s="103" t="n"/>
      <c r="L28" s="104" t="n"/>
      <c r="M28" s="105" t="n"/>
    </row>
    <row r="29">
      <c r="A29" s="126" t="n"/>
      <c r="B29" s="54" t="n"/>
      <c r="C29" s="289" t="inlineStr">
        <is>
          <t>SWAS for Condensate #10</t>
        </is>
      </c>
      <c r="D29" s="55" t="n"/>
      <c r="E29" s="290" t="n">
        <v>28</v>
      </c>
      <c r="F29" s="91" t="n"/>
      <c r="G29" s="291" t="n">
        <v>5</v>
      </c>
      <c r="H29" s="292" t="n">
        <v>4</v>
      </c>
      <c r="I29" s="101" t="n"/>
      <c r="J29" s="102" t="n"/>
      <c r="K29" s="103" t="n"/>
      <c r="L29" s="104" t="n"/>
      <c r="M29" s="105" t="n"/>
    </row>
    <row r="30">
      <c r="A30" s="126" t="n"/>
      <c r="B30" s="54" t="n"/>
      <c r="C30" s="289" t="inlineStr">
        <is>
          <t>SWAS for CW #10</t>
        </is>
      </c>
      <c r="D30" s="55" t="n"/>
      <c r="E30" s="290" t="n">
        <v>2</v>
      </c>
      <c r="F30" s="91" t="n"/>
      <c r="G30" s="291" t="n">
        <v>3</v>
      </c>
      <c r="H30" s="292" t="n"/>
      <c r="I30" s="101" t="n"/>
      <c r="J30" s="102" t="n"/>
      <c r="K30" s="103" t="n"/>
      <c r="L30" s="104" t="n"/>
      <c r="M30" s="105" t="n"/>
    </row>
    <row r="31">
      <c r="A31" s="126" t="n"/>
      <c r="B31" s="54" t="n"/>
      <c r="C31" s="289" t="inlineStr">
        <is>
          <t>SWAS for CW Return Line #10</t>
        </is>
      </c>
      <c r="D31" s="55" t="n"/>
      <c r="E31" s="290" t="n">
        <v>2</v>
      </c>
      <c r="F31" s="91" t="n"/>
      <c r="G31" s="291" t="n"/>
      <c r="H31" s="292" t="n"/>
      <c r="I31" s="101" t="n"/>
      <c r="J31" s="102" t="n"/>
      <c r="K31" s="103" t="n"/>
      <c r="L31" s="104" t="n"/>
      <c r="M31" s="105" t="n"/>
    </row>
    <row r="32">
      <c r="A32" s="126" t="n"/>
      <c r="B32" s="54" t="n"/>
      <c r="C32" s="289" t="inlineStr">
        <is>
          <t>QMS for HRSG Blowdown #10</t>
        </is>
      </c>
      <c r="D32" s="55" t="n"/>
      <c r="E32" s="290" t="n">
        <v>1</v>
      </c>
      <c r="F32" s="91" t="n"/>
      <c r="G32" s="291" t="n">
        <v>3</v>
      </c>
      <c r="H32" s="292" t="n"/>
      <c r="I32" s="101" t="n"/>
      <c r="J32" s="102" t="n"/>
      <c r="K32" s="103" t="n"/>
      <c r="L32" s="104" t="n"/>
      <c r="M32" s="105" t="n"/>
    </row>
    <row r="33">
      <c r="A33" s="126" t="n"/>
      <c r="B33" s="54" t="n"/>
      <c r="C33" s="289" t="inlineStr">
        <is>
          <t>QMS for Process Holding Pond #10</t>
        </is>
      </c>
      <c r="D33" s="55" t="n"/>
      <c r="E33" s="290" t="n">
        <v>3</v>
      </c>
      <c r="F33" s="91" t="n"/>
      <c r="G33" s="291" t="n">
        <v>1</v>
      </c>
      <c r="H33" s="292" t="n"/>
      <c r="I33" s="101" t="n"/>
      <c r="J33" s="102" t="n"/>
      <c r="K33" s="103" t="n"/>
      <c r="L33" s="104" t="n"/>
      <c r="M33" s="105" t="n"/>
    </row>
    <row r="34">
      <c r="A34" s="126" t="n"/>
      <c r="B34" s="54" t="n"/>
      <c r="C34" s="289" t="inlineStr">
        <is>
          <t>QMS for Discharge water to Chao Phraya river #10</t>
        </is>
      </c>
      <c r="D34" s="55" t="n"/>
      <c r="E34" s="290" t="n">
        <v>11</v>
      </c>
      <c r="F34" s="91" t="n"/>
      <c r="G34" s="291" t="n">
        <v>3</v>
      </c>
      <c r="H34" s="292" t="n"/>
      <c r="I34" s="101" t="n"/>
      <c r="J34" s="102" t="n"/>
      <c r="K34" s="103" t="n"/>
      <c r="L34" s="104" t="n"/>
      <c r="M34" s="105" t="n"/>
    </row>
    <row r="35">
      <c r="A35" s="126" t="n"/>
      <c r="B35" s="54" t="n"/>
      <c r="C35" s="289" t="inlineStr">
        <is>
          <t>VMS (MEB) #10</t>
        </is>
      </c>
      <c r="D35" s="55" t="n"/>
      <c r="E35" s="290" t="n">
        <v>34</v>
      </c>
      <c r="F35" s="91" t="n"/>
      <c r="G35" s="291" t="n">
        <v>34</v>
      </c>
      <c r="H35" s="292" t="n"/>
      <c r="I35" s="101" t="n"/>
      <c r="J35" s="102" t="n"/>
      <c r="K35" s="103" t="n"/>
      <c r="L35" s="104" t="n"/>
      <c r="M35" s="105" t="n"/>
    </row>
    <row r="36">
      <c r="A36" s="126" t="n"/>
      <c r="B36" s="54" t="n"/>
      <c r="C36" s="289" t="inlineStr">
        <is>
          <t>VMS (CT LEB) #10</t>
        </is>
      </c>
      <c r="D36" s="55" t="n"/>
      <c r="E36" s="290" t="n">
        <v>120</v>
      </c>
      <c r="F36" s="91" t="n"/>
      <c r="G36" s="291" t="n">
        <v>120</v>
      </c>
      <c r="H36" s="292" t="n"/>
      <c r="I36" s="101" t="n"/>
      <c r="J36" s="102" t="n"/>
      <c r="K36" s="103" t="n"/>
      <c r="L36" s="104" t="n"/>
      <c r="M36" s="105" t="n"/>
    </row>
    <row r="37">
      <c r="A37" s="126" t="n"/>
      <c r="B37" s="54" t="n"/>
      <c r="C37" s="289" t="inlineStr">
        <is>
          <t>Bypass Valve HPU for HP #10</t>
        </is>
      </c>
      <c r="D37" s="55" t="n"/>
      <c r="E37" s="290" t="n">
        <v>1</v>
      </c>
      <c r="F37" s="91" t="n"/>
      <c r="G37" s="291" t="n">
        <v>3</v>
      </c>
      <c r="H37" s="292" t="n"/>
      <c r="I37" s="101" t="n"/>
      <c r="J37" s="102" t="n"/>
      <c r="K37" s="103" t="n"/>
      <c r="L37" s="104" t="n"/>
      <c r="M37" s="105" t="n"/>
    </row>
    <row r="38">
      <c r="A38" s="126" t="n"/>
      <c r="B38" s="54" t="n"/>
      <c r="C38" s="289" t="inlineStr">
        <is>
          <t>Bypass Valve HPU for IP/LP #10</t>
        </is>
      </c>
      <c r="D38" s="55" t="n"/>
      <c r="E38" s="290" t="n">
        <v>1</v>
      </c>
      <c r="F38" s="91" t="n"/>
      <c r="G38" s="291" t="n">
        <v>3</v>
      </c>
      <c r="H38" s="292" t="n"/>
      <c r="I38" s="101" t="n"/>
      <c r="J38" s="102" t="n"/>
      <c r="K38" s="103" t="n"/>
      <c r="L38" s="104" t="n"/>
      <c r="M38" s="105" t="n"/>
    </row>
    <row r="39">
      <c r="A39" s="126" t="n"/>
      <c r="B39" s="54" t="n"/>
      <c r="C39" s="289" t="inlineStr">
        <is>
          <t>HRSG Transmitter #10</t>
        </is>
      </c>
      <c r="D39" s="55" t="n"/>
      <c r="E39" s="290" t="n">
        <v>1</v>
      </c>
      <c r="F39" s="91" t="n"/>
      <c r="G39" s="291" t="n"/>
      <c r="H39" s="292" t="n"/>
      <c r="I39" s="101" t="n"/>
      <c r="J39" s="102" t="n"/>
      <c r="K39" s="103" t="n"/>
      <c r="L39" s="104" t="n"/>
      <c r="M39" s="105" t="n"/>
    </row>
    <row r="40">
      <c r="A40" s="126" t="n"/>
      <c r="B40" s="54" t="n"/>
      <c r="C40" s="289" t="inlineStr">
        <is>
          <t>HRSG Level Switch #10</t>
        </is>
      </c>
      <c r="D40" s="55" t="n"/>
      <c r="E40" s="290" t="n"/>
      <c r="F40" s="91" t="n">
        <v>1</v>
      </c>
      <c r="G40" s="291" t="n"/>
      <c r="H40" s="292" t="n"/>
      <c r="I40" s="101" t="n"/>
      <c r="J40" s="102" t="n"/>
      <c r="K40" s="103" t="n"/>
      <c r="L40" s="104" t="n"/>
      <c r="M40" s="105" t="n"/>
    </row>
    <row r="41">
      <c r="A41" s="126" t="n"/>
      <c r="B41" s="54" t="n"/>
      <c r="C41" s="289" t="inlineStr">
        <is>
          <t>HRSG CV (AI&amp;AO) #10</t>
        </is>
      </c>
      <c r="D41" s="55" t="n"/>
      <c r="E41" s="290" t="n">
        <v>1</v>
      </c>
      <c r="F41" s="91" t="n">
        <v>1</v>
      </c>
      <c r="G41" s="291" t="n"/>
      <c r="H41" s="292" t="n"/>
      <c r="I41" s="101" t="n"/>
      <c r="J41" s="102" t="n"/>
      <c r="K41" s="103" t="n"/>
      <c r="L41" s="104" t="n"/>
      <c r="M41" s="105" t="n"/>
    </row>
    <row r="42">
      <c r="A42" s="126" t="n"/>
      <c r="B42" s="54" t="n"/>
      <c r="C42" s="289" t="inlineStr">
        <is>
          <t>HRSG CV (DI) #10</t>
        </is>
      </c>
      <c r="D42" s="55" t="n"/>
      <c r="E42" s="290" t="n"/>
      <c r="F42" s="91" t="n"/>
      <c r="G42" s="291" t="n">
        <v>2</v>
      </c>
      <c r="H42" s="292" t="n"/>
      <c r="I42" s="101" t="n"/>
      <c r="J42" s="102" t="n"/>
      <c r="K42" s="103" t="n"/>
      <c r="L42" s="104" t="n"/>
      <c r="M42" s="105" t="n"/>
    </row>
    <row r="43">
      <c r="A43" s="126" t="n"/>
      <c r="B43" s="54" t="n"/>
      <c r="C43" s="289" t="inlineStr">
        <is>
          <t>HRSG XV #10</t>
        </is>
      </c>
      <c r="D43" s="55" t="n"/>
      <c r="E43" s="290" t="n"/>
      <c r="F43" s="91" t="n"/>
      <c r="G43" s="291" t="n">
        <v>2</v>
      </c>
      <c r="H43" s="292" t="n">
        <v>1</v>
      </c>
      <c r="I43" s="101" t="n"/>
      <c r="J43" s="102" t="n"/>
      <c r="K43" s="103" t="n"/>
      <c r="L43" s="104" t="n"/>
      <c r="M43" s="105" t="n"/>
    </row>
    <row r="44">
      <c r="A44" s="126" t="n"/>
      <c r="B44" s="54" t="n"/>
      <c r="C44" s="289" t="inlineStr">
        <is>
          <t>HRSG MOV #10</t>
        </is>
      </c>
      <c r="D44" s="55" t="n"/>
      <c r="E44" s="290" t="n"/>
      <c r="F44" s="91" t="n"/>
      <c r="G44" s="291" t="n">
        <v>6</v>
      </c>
      <c r="H44" s="292" t="n">
        <v>2</v>
      </c>
      <c r="I44" s="101" t="n"/>
      <c r="J44" s="102" t="n"/>
      <c r="K44" s="103" t="n"/>
      <c r="L44" s="104" t="n"/>
      <c r="M44" s="105" t="n"/>
    </row>
    <row r="45">
      <c r="A45" s="126" t="n"/>
      <c r="B45" s="54" t="n"/>
      <c r="C45" s="289" t="inlineStr">
        <is>
          <t>HRSG MOV Inching #10</t>
        </is>
      </c>
      <c r="D45" s="55" t="n"/>
      <c r="E45" s="290" t="n"/>
      <c r="F45" s="91" t="n"/>
      <c r="G45" s="291" t="n">
        <v>6</v>
      </c>
      <c r="H45" s="292" t="n">
        <v>2</v>
      </c>
      <c r="I45" s="101" t="n"/>
      <c r="J45" s="102" t="n"/>
      <c r="K45" s="103" t="n"/>
      <c r="L45" s="104" t="n"/>
      <c r="M45" s="105" t="n"/>
    </row>
    <row r="46">
      <c r="A46" s="126" t="n"/>
      <c r="B46" s="54" t="n"/>
      <c r="C46" s="289" t="inlineStr">
        <is>
          <t>HRSG MOV Inching (AI) #10</t>
        </is>
      </c>
      <c r="D46" s="55" t="n"/>
      <c r="E46" s="290" t="n">
        <v>1</v>
      </c>
      <c r="F46" s="91" t="n"/>
      <c r="G46" s="291" t="n"/>
      <c r="H46" s="292" t="n"/>
      <c r="I46" s="101" t="n"/>
      <c r="J46" s="102" t="n"/>
      <c r="K46" s="103" t="n"/>
      <c r="L46" s="104" t="n"/>
      <c r="M46" s="105" t="n"/>
    </row>
    <row r="47">
      <c r="A47" s="126" t="n"/>
      <c r="B47" s="54" t="n"/>
      <c r="C47" s="289" t="inlineStr">
        <is>
          <t>HRSG Analog JB #10</t>
        </is>
      </c>
      <c r="D47" s="55" t="n"/>
      <c r="E47" s="290" t="n">
        <v>158</v>
      </c>
      <c r="F47" s="91" t="n">
        <v>25</v>
      </c>
      <c r="G47" s="291" t="n"/>
      <c r="H47" s="292" t="n"/>
      <c r="I47" s="101" t="n"/>
      <c r="J47" s="102" t="n"/>
      <c r="K47" s="103" t="n"/>
      <c r="L47" s="104" t="n"/>
      <c r="M47" s="105" t="n"/>
    </row>
    <row r="48">
      <c r="A48" s="126" t="n"/>
      <c r="B48" s="54" t="n"/>
      <c r="C48" s="289" t="inlineStr">
        <is>
          <t>HRSG Digital JB #10</t>
        </is>
      </c>
      <c r="D48" s="55" t="n"/>
      <c r="E48" s="290" t="n"/>
      <c r="F48" s="91" t="n"/>
      <c r="G48" s="291" t="n">
        <v>238</v>
      </c>
      <c r="H48" s="292" t="n">
        <v>73</v>
      </c>
      <c r="I48" s="101" t="n"/>
      <c r="J48" s="102" t="n"/>
      <c r="K48" s="103" t="n"/>
      <c r="L48" s="104" t="n"/>
      <c r="M48" s="105" t="n"/>
    </row>
    <row r="49">
      <c r="A49" s="126" t="n"/>
      <c r="B49" s="54" t="n"/>
      <c r="C49" s="289" t="inlineStr">
        <is>
          <t>ESDV #10</t>
        </is>
      </c>
      <c r="D49" s="55" t="n"/>
      <c r="E49" s="290" t="n">
        <v>1</v>
      </c>
      <c r="F49" s="91" t="n">
        <v>0</v>
      </c>
      <c r="G49" s="291" t="n">
        <v>6</v>
      </c>
      <c r="H49" s="292" t="n">
        <v>3</v>
      </c>
      <c r="I49" s="101" t="n"/>
      <c r="J49" s="102" t="n"/>
      <c r="K49" s="103" t="n"/>
      <c r="L49" s="104" t="n"/>
      <c r="M49" s="105" t="n"/>
    </row>
    <row r="50">
      <c r="A50" s="126" t="n"/>
      <c r="B50" s="54" t="n"/>
      <c r="C50" s="289" t="inlineStr">
        <is>
          <t>Fuel Gas Supply System #10</t>
        </is>
      </c>
      <c r="D50" s="55" t="n"/>
      <c r="E50" s="290" t="n">
        <v>1</v>
      </c>
      <c r="F50" s="91" t="n"/>
      <c r="G50" s="291" t="n"/>
      <c r="H50" s="292" t="n"/>
      <c r="I50" s="101" t="n"/>
      <c r="J50" s="102" t="n"/>
      <c r="K50" s="103" t="n"/>
      <c r="L50" s="104" t="n"/>
      <c r="M50" s="105" t="n"/>
    </row>
    <row r="51">
      <c r="A51" s="126" t="n"/>
      <c r="B51" s="54" t="n"/>
      <c r="C51" s="289" t="inlineStr">
        <is>
          <t>FG Condensate Tank for GT Area #10</t>
        </is>
      </c>
      <c r="D51" s="55" t="n"/>
      <c r="E51" s="290" t="n">
        <v>1</v>
      </c>
      <c r="F51" s="91" t="n"/>
      <c r="G51" s="291" t="n"/>
      <c r="H51" s="292" t="n"/>
      <c r="I51" s="101" t="n"/>
      <c r="J51" s="102" t="n"/>
      <c r="K51" s="103" t="n"/>
      <c r="L51" s="104" t="n"/>
      <c r="M51" s="105" t="n"/>
    </row>
    <row r="52">
      <c r="A52" s="126" t="n"/>
      <c r="B52" s="54" t="n"/>
      <c r="C52" s="289" t="inlineStr">
        <is>
          <t>Condenser Vacuum Pump #10</t>
        </is>
      </c>
      <c r="D52" s="55" t="n"/>
      <c r="E52" s="290" t="n">
        <v>2</v>
      </c>
      <c r="F52" s="91" t="n"/>
      <c r="G52" s="291" t="n">
        <v>14</v>
      </c>
      <c r="H52" s="292" t="n">
        <v>7</v>
      </c>
      <c r="I52" s="101" t="n"/>
      <c r="J52" s="102" t="n"/>
      <c r="K52" s="103" t="n"/>
      <c r="L52" s="104" t="n"/>
      <c r="M52" s="105" t="n"/>
    </row>
    <row r="53">
      <c r="A53" s="126" t="n"/>
      <c r="B53" s="54" t="n"/>
      <c r="C53" s="289" t="inlineStr">
        <is>
          <t>CEP SIGNAL JB (Vibration/ Temp) #10</t>
        </is>
      </c>
      <c r="D53" s="55" t="n"/>
      <c r="E53" s="290" t="n">
        <v>7</v>
      </c>
      <c r="F53" s="91" t="n">
        <v>0</v>
      </c>
      <c r="G53" s="291" t="n">
        <v>1</v>
      </c>
      <c r="H53" s="292" t="n">
        <v>1</v>
      </c>
      <c r="I53" s="101" t="inlineStr">
        <is>
          <t>1</t>
        </is>
      </c>
      <c r="J53" s="102" t="n"/>
      <c r="K53" s="103" t="inlineStr">
        <is>
          <t>6</t>
        </is>
      </c>
      <c r="L53" s="104" t="n">
        <v>2</v>
      </c>
      <c r="M53" s="105" t="n">
        <v>7</v>
      </c>
    </row>
    <row r="54">
      <c r="A54" s="126" t="n"/>
      <c r="B54" s="54" t="n"/>
      <c r="C54" s="289" t="inlineStr">
        <is>
          <t xml:space="preserve">BFP </t>
        </is>
      </c>
      <c r="D54" s="55" t="n"/>
      <c r="E54" s="290" t="n">
        <v>14</v>
      </c>
      <c r="F54" s="91" t="n">
        <v>0</v>
      </c>
      <c r="G54" s="291" t="n">
        <v>2</v>
      </c>
      <c r="H54" s="292" t="n">
        <v>1</v>
      </c>
      <c r="I54" s="101" t="inlineStr">
        <is>
          <t>1</t>
        </is>
      </c>
      <c r="J54" s="102" t="n"/>
      <c r="K54" s="103" t="inlineStr">
        <is>
          <t>6</t>
        </is>
      </c>
      <c r="L54" s="104" t="n">
        <v>2</v>
      </c>
      <c r="M54" s="105" t="n">
        <v>11</v>
      </c>
    </row>
    <row r="55">
      <c r="A55" s="126" t="n"/>
      <c r="B55" s="54" t="n"/>
      <c r="C55" s="289" t="inlineStr">
        <is>
          <t>CWP SIGNAL JB (Vib./Temp) #10</t>
        </is>
      </c>
      <c r="D55" s="55" t="n"/>
      <c r="E55" s="290" t="n">
        <v>5</v>
      </c>
      <c r="F55" s="91" t="n">
        <v>0</v>
      </c>
      <c r="G55" s="291" t="n">
        <v>1</v>
      </c>
      <c r="H55" s="292" t="n">
        <v>1</v>
      </c>
      <c r="I55" s="101" t="inlineStr">
        <is>
          <t>1</t>
        </is>
      </c>
      <c r="J55" s="102" t="n"/>
      <c r="K55" s="103" t="inlineStr">
        <is>
          <t>6</t>
        </is>
      </c>
      <c r="L55" s="104" t="n">
        <v>2</v>
      </c>
      <c r="M55" s="105" t="n">
        <v>9</v>
      </c>
    </row>
    <row r="56">
      <c r="A56" s="126" t="n"/>
      <c r="B56" s="54" t="n"/>
      <c r="C56" s="289" t="inlineStr">
        <is>
          <t>CCWP SIG JB #10</t>
        </is>
      </c>
      <c r="D56" s="55" t="n"/>
      <c r="E56" s="290" t="n">
        <v>7</v>
      </c>
      <c r="F56" s="91" t="n">
        <v>0</v>
      </c>
      <c r="G56" s="291" t="n">
        <v>1</v>
      </c>
      <c r="H56" s="292" t="n">
        <v>1</v>
      </c>
      <c r="I56" s="103" t="n"/>
      <c r="J56" s="104" t="n"/>
      <c r="K56" s="103" t="inlineStr">
        <is>
          <t>5</t>
        </is>
      </c>
      <c r="L56" s="104" t="n">
        <v>2</v>
      </c>
      <c r="M56" s="105" t="n">
        <v>7</v>
      </c>
    </row>
    <row r="57">
      <c r="A57" s="126" t="n"/>
      <c r="B57" s="54" t="n"/>
      <c r="C57" s="289" t="inlineStr">
        <is>
          <t>CT Makeup Pump SIG JB #10</t>
        </is>
      </c>
      <c r="D57" s="55" t="n"/>
      <c r="E57" s="290" t="n">
        <v>7</v>
      </c>
      <c r="F57" s="91" t="n">
        <v>0</v>
      </c>
      <c r="G57" s="291" t="n">
        <v>1</v>
      </c>
      <c r="H57" s="292" t="n">
        <v>1</v>
      </c>
      <c r="I57" s="101" t="inlineStr">
        <is>
          <t>1</t>
        </is>
      </c>
      <c r="J57" s="102" t="n"/>
      <c r="K57" s="103" t="inlineStr">
        <is>
          <t>6</t>
        </is>
      </c>
      <c r="L57" s="104" t="n">
        <v>2</v>
      </c>
      <c r="M57" s="105" t="n">
        <v>7</v>
      </c>
    </row>
    <row r="58">
      <c r="A58" s="126" t="n"/>
      <c r="B58" s="54" t="n"/>
      <c r="C58" s="289" t="inlineStr">
        <is>
          <t>Cooling Tower FAN SIG JB #10</t>
        </is>
      </c>
      <c r="D58" s="55" t="n"/>
      <c r="E58" s="290" t="n">
        <v>4</v>
      </c>
      <c r="F58" s="91" t="n">
        <v>0</v>
      </c>
      <c r="G58" s="291" t="n">
        <v>1</v>
      </c>
      <c r="H58" s="292" t="n">
        <v>0</v>
      </c>
      <c r="I58" s="101" t="n"/>
      <c r="J58" s="102" t="n"/>
      <c r="K58" s="103" t="inlineStr">
        <is>
          <t>5</t>
        </is>
      </c>
      <c r="L58" s="104" t="n">
        <v>2</v>
      </c>
      <c r="M58" s="105" t="n">
        <v>6</v>
      </c>
    </row>
    <row r="59" ht="17.25" customHeight="1" s="247" thickBot="1">
      <c r="A59" s="127" t="n"/>
      <c r="B59" s="128" t="n"/>
      <c r="C59" s="293" t="inlineStr">
        <is>
          <t>CT Plume Abatement System #10</t>
        </is>
      </c>
      <c r="D59" s="129" t="n"/>
      <c r="E59" s="294" t="n">
        <v>5</v>
      </c>
      <c r="F59" s="131" t="n"/>
      <c r="G59" s="295" t="n">
        <v>16</v>
      </c>
      <c r="H59" s="296" t="n">
        <v>6</v>
      </c>
      <c r="I59" s="134" t="n"/>
      <c r="J59" s="135" t="n"/>
      <c r="K59" s="136" t="n"/>
      <c r="L59" s="137" t="n"/>
      <c r="M59" s="138" t="n"/>
    </row>
  </sheetData>
  <dataValidations xWindow="105" yWindow="217" count="1">
    <dataValidation sqref="B3" showDropDown="0" showInputMessage="1" showErrorMessage="1" allowBlank="1" promptTitle="PKG Select" prompt="Please fill in PKG Q'ty._x000a_Both for Hardwiring and Communication_x000a__x000a_If not applicable, let it empty or fill in 0"/>
  </dataValidations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 codeName="Sheet17">
    <tabColor rgb="FFFFFF00"/>
    <outlinePr summaryBelow="1" summaryRight="1"/>
    <pageSetUpPr/>
  </sheetPr>
  <dimension ref="B1:AJ13"/>
  <sheetViews>
    <sheetView workbookViewId="0">
      <selection activeCell="A1" sqref="A1"/>
    </sheetView>
  </sheetViews>
  <sheetFormatPr baseColWidth="8" defaultColWidth="20.625" defaultRowHeight="16.5"/>
  <cols>
    <col width="5.375" customWidth="1" style="247" min="1" max="2"/>
    <col width="6.5" customWidth="1" style="270" min="3" max="3"/>
    <col width="14.25" customWidth="1" style="3" min="4" max="4"/>
    <col width="21.875" bestFit="1" customWidth="1" style="247" min="5" max="5"/>
    <col width="20.625" customWidth="1" style="14" min="6" max="6"/>
    <col width="17.375" customWidth="1" style="247" min="7" max="7"/>
    <col width="10.75" customWidth="1" style="3" min="9" max="9"/>
    <col width="21.875" bestFit="1" customWidth="1" style="247" min="10" max="10"/>
    <col width="20.625" customWidth="1" style="3" min="11" max="11"/>
    <col width="17.375" customWidth="1" style="247" min="12" max="12"/>
    <col width="8.875" customWidth="1" style="247" min="18" max="25"/>
    <col width="13" customWidth="1" style="247" min="26" max="26"/>
    <col width="8.875" customWidth="1" style="247" min="27" max="34"/>
    <col width="14.5" customWidth="1" style="247" min="35" max="35"/>
  </cols>
  <sheetData>
    <row r="1" ht="31.5" customHeight="1" s="247">
      <c r="F1" s="3" t="n"/>
    </row>
    <row r="2" ht="31.5" customHeight="1" s="247">
      <c r="F2" s="3" t="n"/>
    </row>
    <row r="3" ht="31.5" customHeight="1" s="247">
      <c r="Q3" s="2" t="n"/>
      <c r="R3" s="214" t="inlineStr">
        <is>
          <t>TOTAL IO</t>
        </is>
      </c>
      <c r="S3" s="297" t="n"/>
      <c r="T3" s="297" t="n"/>
      <c r="U3" s="297" t="n"/>
      <c r="V3" s="297" t="n"/>
      <c r="W3" s="297" t="n"/>
      <c r="X3" s="297" t="n"/>
      <c r="Y3" s="297" t="n"/>
      <c r="Z3" s="298" t="n"/>
      <c r="AA3" s="214" t="inlineStr">
        <is>
          <t>TYPICAL IO</t>
        </is>
      </c>
      <c r="AB3" s="297" t="n"/>
      <c r="AC3" s="297" t="n"/>
      <c r="AD3" s="297" t="n"/>
      <c r="AE3" s="297" t="n"/>
      <c r="AF3" s="297" t="n"/>
      <c r="AG3" s="297" t="n"/>
      <c r="AH3" s="297" t="n"/>
      <c r="AI3" s="298" t="n"/>
      <c r="AJ3" s="2" t="n"/>
    </row>
    <row r="4" ht="67.5" customHeight="1" s="247">
      <c r="B4" s="213" t="inlineStr">
        <is>
          <t>No.</t>
        </is>
      </c>
      <c r="C4" s="299" t="inlineStr">
        <is>
          <t>Q'ty
(A)</t>
        </is>
      </c>
      <c r="D4" s="161" t="inlineStr">
        <is>
          <t>FROM</t>
        </is>
      </c>
      <c r="E4" s="162" t="n"/>
      <c r="F4" s="161" t="n"/>
      <c r="G4" s="162" t="n"/>
      <c r="H4" s="162" t="n"/>
      <c r="I4" s="161" t="inlineStr">
        <is>
          <t>To</t>
        </is>
      </c>
      <c r="J4" s="161" t="n"/>
      <c r="K4" s="161" t="n"/>
      <c r="L4" s="161" t="n"/>
      <c r="M4" s="162" t="n"/>
      <c r="N4" s="161" t="inlineStr">
        <is>
          <t>Communication</t>
        </is>
      </c>
      <c r="O4" s="161" t="n"/>
      <c r="P4" s="161" t="n"/>
      <c r="Q4" s="161" t="n"/>
      <c r="R4" s="162" t="inlineStr">
        <is>
          <t>Total Field IO Q'ty</t>
        </is>
      </c>
      <c r="S4" s="162" t="n"/>
      <c r="T4" s="162" t="n"/>
      <c r="U4" s="162" t="n"/>
      <c r="V4" s="162" t="inlineStr">
        <is>
          <t>Total SWGR/MCC Interface IO</t>
        </is>
      </c>
      <c r="W4" s="162" t="n"/>
      <c r="X4" s="162" t="n"/>
      <c r="Y4" s="162" t="n"/>
      <c r="Z4" s="163" t="inlineStr">
        <is>
          <t>Total Typical 
Vibration / Gas detector</t>
        </is>
      </c>
      <c r="AA4" s="162" t="inlineStr">
        <is>
          <t>Typical Field IO Q'ty</t>
        </is>
      </c>
      <c r="AB4" s="162" t="n"/>
      <c r="AC4" s="162" t="n"/>
      <c r="AD4" s="162" t="n"/>
      <c r="AE4" s="162" t="inlineStr">
        <is>
          <t>Typical SWGR/MCC Interface IO</t>
        </is>
      </c>
      <c r="AF4" s="162" t="n"/>
      <c r="AG4" s="162" t="n"/>
      <c r="AH4" s="162" t="n"/>
      <c r="AI4" s="163" t="inlineStr">
        <is>
          <t>Typical 
Vibration / Gas detector</t>
        </is>
      </c>
      <c r="AJ4" s="22" t="n"/>
    </row>
    <row r="5" ht="35.1" customHeight="1" s="247">
      <c r="B5" s="262" t="n"/>
      <c r="C5" s="300" t="n"/>
      <c r="D5" s="161" t="inlineStr">
        <is>
          <t>Unit</t>
        </is>
      </c>
      <c r="E5" s="165" t="inlineStr">
        <is>
          <t>Zone 1
EQ Description</t>
        </is>
      </c>
      <c r="F5" s="161" t="inlineStr">
        <is>
          <t>Zone 1 SQ
No.</t>
        </is>
      </c>
      <c r="G5" s="165" t="inlineStr">
        <is>
          <t>Zone 1
Description</t>
        </is>
      </c>
      <c r="H5" s="163" t="inlineStr">
        <is>
          <t>Zone 1 No.</t>
        </is>
      </c>
      <c r="I5" s="161" t="inlineStr">
        <is>
          <t>Unit</t>
        </is>
      </c>
      <c r="J5" s="165" t="inlineStr">
        <is>
          <t>Zone 2
EQ Description</t>
        </is>
      </c>
      <c r="K5" s="161" t="inlineStr">
        <is>
          <t>Zone 2
SQ No.</t>
        </is>
      </c>
      <c r="L5" s="165" t="inlineStr">
        <is>
          <t>Zone 2
Description</t>
        </is>
      </c>
      <c r="M5" s="163" t="inlineStr">
        <is>
          <t>Zone 2 No.</t>
        </is>
      </c>
      <c r="N5" s="164" t="inlineStr">
        <is>
          <t>Protocol</t>
        </is>
      </c>
      <c r="O5" s="162" t="inlineStr">
        <is>
          <t>Cable Q'ty / Equipment</t>
        </is>
      </c>
      <c r="P5" s="162" t="inlineStr">
        <is>
          <t>Cable Type</t>
        </is>
      </c>
      <c r="Q5" s="164" t="inlineStr">
        <is>
          <t>Remark</t>
        </is>
      </c>
      <c r="R5" s="164" t="inlineStr">
        <is>
          <t>AI</t>
        </is>
      </c>
      <c r="S5" s="164" t="inlineStr">
        <is>
          <t>AO</t>
        </is>
      </c>
      <c r="T5" s="164" t="inlineStr">
        <is>
          <t>DI</t>
        </is>
      </c>
      <c r="U5" s="164" t="inlineStr">
        <is>
          <t>DO</t>
        </is>
      </c>
      <c r="V5" s="164" t="inlineStr">
        <is>
          <t>AI</t>
        </is>
      </c>
      <c r="W5" s="164" t="inlineStr">
        <is>
          <t>AO</t>
        </is>
      </c>
      <c r="X5" s="164" t="inlineStr">
        <is>
          <t>DI</t>
        </is>
      </c>
      <c r="Y5" s="164" t="inlineStr">
        <is>
          <t>DO</t>
        </is>
      </c>
      <c r="Z5" s="164" t="inlineStr">
        <is>
          <t>AI</t>
        </is>
      </c>
      <c r="AA5" s="164" t="inlineStr">
        <is>
          <t>AI</t>
        </is>
      </c>
      <c r="AB5" s="164" t="inlineStr">
        <is>
          <t>AO</t>
        </is>
      </c>
      <c r="AC5" s="164" t="inlineStr">
        <is>
          <t>DI</t>
        </is>
      </c>
      <c r="AD5" s="164" t="inlineStr">
        <is>
          <t>DO</t>
        </is>
      </c>
      <c r="AE5" s="164" t="inlineStr">
        <is>
          <t>AI</t>
        </is>
      </c>
      <c r="AF5" s="164" t="inlineStr">
        <is>
          <t>AO</t>
        </is>
      </c>
      <c r="AG5" s="164" t="inlineStr">
        <is>
          <t>DI</t>
        </is>
      </c>
      <c r="AH5" s="164" t="inlineStr">
        <is>
          <t>DO</t>
        </is>
      </c>
      <c r="AI5" s="164" t="inlineStr">
        <is>
          <t>AI</t>
        </is>
      </c>
      <c r="AJ5" s="22" t="n"/>
    </row>
    <row r="6" ht="35.1" customHeight="1" s="247">
      <c r="B6" s="160" t="n"/>
      <c r="C6" s="301" t="n"/>
      <c r="D6" s="168" t="n"/>
      <c r="E6" s="166" t="n"/>
      <c r="F6" s="168" t="n"/>
      <c r="G6" s="166" t="n"/>
      <c r="H6" s="160" t="n"/>
      <c r="I6" s="168" t="n"/>
      <c r="J6" s="166" t="n"/>
      <c r="K6" s="168" t="n"/>
      <c r="L6" s="166" t="n"/>
      <c r="M6" s="160" t="n"/>
      <c r="N6" s="160" t="n"/>
      <c r="O6" s="160" t="n"/>
      <c r="P6" s="160" t="n"/>
      <c r="Q6" s="160" t="n"/>
      <c r="R6" s="160" t="n"/>
      <c r="S6" s="160" t="n"/>
      <c r="T6" s="160" t="n"/>
      <c r="U6" s="160" t="n"/>
      <c r="V6" s="160" t="n"/>
      <c r="W6" s="160" t="n"/>
      <c r="X6" s="160" t="n"/>
      <c r="Y6" s="160" t="n"/>
      <c r="Z6" s="160" t="n"/>
      <c r="AA6" s="160" t="n"/>
      <c r="AB6" s="160" t="n"/>
      <c r="AC6" s="160" t="n"/>
      <c r="AD6" s="160" t="n"/>
      <c r="AE6" s="160" t="n"/>
      <c r="AF6" s="160" t="n"/>
      <c r="AG6" s="160" t="n"/>
      <c r="AH6" s="160" t="n"/>
      <c r="AI6" s="160" t="n"/>
    </row>
    <row r="7" ht="35.1" customHeight="1" s="247">
      <c r="F7" s="3" t="n"/>
    </row>
    <row r="8" ht="35.1" customHeight="1" s="247">
      <c r="F8" s="3" t="n"/>
    </row>
    <row r="9" ht="35.1" customHeight="1" s="247">
      <c r="F9" s="3" t="n"/>
    </row>
    <row r="10" ht="35.1" customHeight="1" s="247">
      <c r="F10" s="3" t="n"/>
    </row>
    <row r="11" ht="35.1" customHeight="1" s="247">
      <c r="F11" s="3" t="n"/>
    </row>
    <row r="12" ht="35.1" customHeight="1" s="247">
      <c r="F12" s="3" t="n"/>
    </row>
    <row r="13" ht="35.1" customHeight="1" s="247">
      <c r="F13" s="3" t="n"/>
    </row>
  </sheetData>
  <autoFilter ref="A5:AI13"/>
  <mergeCells count="4">
    <mergeCell ref="C4:C5"/>
    <mergeCell ref="AA3:AI3"/>
    <mergeCell ref="B4:B5"/>
    <mergeCell ref="R3:Z3"/>
  </mergeCells>
  <dataValidations count="4">
    <dataValidation sqref="L2 L4:L12 L13:L1048576" showDropDown="0" showInputMessage="1" showErrorMessage="1" allowBlank="1" type="list">
      <formula1>Elec_Room</formula1>
    </dataValidation>
    <dataValidation sqref="G1:G2 G4:G12 G13:G1048576" showDropDown="0" showInputMessage="1" showErrorMessage="1" allowBlank="1" type="list">
      <formula1>Zone_Desc</formula1>
    </dataValidation>
    <dataValidation sqref="O4:O5" showDropDown="0" showInputMessage="1" showErrorMessage="1" allowBlank="1" prompt="Equipment 당 필요한 Communication Line_x000a_최종 반영 = Cable Qty(B) x EQ Qty(A)"/>
    <dataValidation sqref="P1:P12 P13:P1048576" showDropDown="0" showInputMessage="1" showErrorMessage="1" allowBlank="1" type="list">
      <formula1>Comm_Cable_Type</formula1>
    </dataValidation>
  </dataValidations>
  <pageMargins left="0.7" right="0.7" top="0.75" bottom="0.75" header="0.3" footer="0.3"/>
  <pageSetup orientation="portrait" paperSize="9" verticalDpi="1200"/>
</worksheet>
</file>

<file path=xl/worksheets/sheet4.xml><?xml version="1.0" encoding="utf-8"?>
<worksheet xmlns="http://schemas.openxmlformats.org/spreadsheetml/2006/main">
  <sheetPr codeName="Sheet23">
    <tabColor rgb="FFFFFF00"/>
    <outlinePr summaryBelow="1" summaryRight="1"/>
    <pageSetUpPr/>
  </sheetPr>
  <dimension ref="A2:U10"/>
  <sheetViews>
    <sheetView workbookViewId="0">
      <selection activeCell="A1" sqref="A1"/>
    </sheetView>
  </sheetViews>
  <sheetFormatPr baseColWidth="8" defaultColWidth="9" defaultRowHeight="14.25"/>
  <cols>
    <col width="9" customWidth="1" style="2" min="1" max="1"/>
    <col width="11.625" customWidth="1" style="2" min="2" max="2"/>
    <col width="20.625" customWidth="1" style="20" min="3" max="3"/>
    <col width="12" customWidth="1" style="20" min="4" max="4"/>
    <col width="40.625" customWidth="1" style="16" min="5" max="5"/>
    <col width="10.625" customWidth="1" style="19" min="6" max="6"/>
    <col width="20.625" customWidth="1" style="17" min="7" max="7"/>
    <col width="27.625" customWidth="1" style="18" min="8" max="8"/>
    <col width="12" customWidth="1" style="20" min="9" max="9"/>
    <col width="40.625" customWidth="1" style="16" min="10" max="10"/>
    <col width="10.625" customWidth="1" style="19" min="11" max="11"/>
    <col width="20.625" customWidth="1" style="17" min="12" max="12"/>
    <col width="27.625" customWidth="1" style="18" min="13" max="13"/>
    <col width="15.375" customWidth="1" style="17" min="14" max="14"/>
    <col width="10.625" customWidth="1" style="17" min="15" max="15"/>
    <col width="20.625" customWidth="1" style="17" min="16" max="16"/>
    <col width="18.25" customWidth="1" style="2" min="17" max="17"/>
    <col width="9" customWidth="1" style="2" min="18" max="19"/>
    <col width="20.125" bestFit="1" customWidth="1" style="2" min="20" max="20"/>
    <col width="20.625" bestFit="1" customWidth="1" style="2" min="21" max="21"/>
    <col width="9" customWidth="1" style="2" min="22" max="16384"/>
  </cols>
  <sheetData>
    <row r="1" ht="30.75" customHeight="1" s="247"/>
    <row r="2" ht="30.75" customHeight="1" s="247">
      <c r="C2" s="63" t="n"/>
      <c r="D2" s="61" t="n"/>
      <c r="E2" s="62" t="n"/>
      <c r="F2" s="63" t="n"/>
      <c r="G2" s="64" t="n"/>
      <c r="H2" s="65" t="n"/>
      <c r="I2" s="66" t="n"/>
      <c r="J2" s="62" t="n"/>
      <c r="K2" s="63" t="n"/>
      <c r="L2" s="64" t="n"/>
      <c r="M2" s="65" t="n"/>
      <c r="N2" s="64" t="n"/>
      <c r="O2" s="64" t="n"/>
      <c r="P2" s="64" t="n"/>
      <c r="Q2" s="61" t="n"/>
    </row>
    <row r="3" ht="30.75" customHeight="1" s="247"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T3" s="21" t="inlineStr">
        <is>
          <t>Communication Cable Type</t>
        </is>
      </c>
    </row>
    <row r="4" ht="34.5" customFormat="1" customHeight="1" s="22">
      <c r="B4" s="302" t="inlineStr">
        <is>
          <t>No.</t>
        </is>
      </c>
      <c r="C4" s="303" t="inlineStr">
        <is>
          <t>EQ Q'ty
(A)</t>
        </is>
      </c>
      <c r="D4" s="304" t="inlineStr">
        <is>
          <t>FROM</t>
        </is>
      </c>
      <c r="E4" s="305" t="n"/>
      <c r="F4" s="305" t="n"/>
      <c r="G4" s="305" t="n"/>
      <c r="H4" s="306" t="n"/>
      <c r="I4" s="307" t="inlineStr">
        <is>
          <t>TO</t>
        </is>
      </c>
      <c r="J4" s="305" t="n"/>
      <c r="K4" s="305" t="n"/>
      <c r="L4" s="305" t="n"/>
      <c r="M4" s="306" t="n"/>
      <c r="N4" s="308" t="inlineStr">
        <is>
          <t>Protocol</t>
        </is>
      </c>
      <c r="O4" s="309" t="inlineStr">
        <is>
          <t>Cable Q'ty
(B)</t>
        </is>
      </c>
      <c r="P4" s="309" t="inlineStr">
        <is>
          <t>Cable Type</t>
        </is>
      </c>
      <c r="Q4" s="308" t="inlineStr">
        <is>
          <t>Remark</t>
        </is>
      </c>
      <c r="T4" s="60" t="inlineStr">
        <is>
          <t>Fiber Optic</t>
        </is>
      </c>
      <c r="U4" s="60" t="inlineStr">
        <is>
          <t>Single Mode 6 core</t>
        </is>
      </c>
    </row>
    <row r="5" ht="35.1" customFormat="1" customHeight="1" s="22">
      <c r="B5" s="262" t="n"/>
      <c r="C5" s="300" t="n"/>
      <c r="D5" s="216" t="inlineStr">
        <is>
          <t>Unit</t>
        </is>
      </c>
      <c r="E5" s="151" t="inlineStr">
        <is>
          <t>Zone 1
EQ Description</t>
        </is>
      </c>
      <c r="F5" s="220" t="inlineStr">
        <is>
          <t>Zone 1
SQ No.</t>
        </is>
      </c>
      <c r="G5" s="218" t="inlineStr">
        <is>
          <t>Zone 1
Description</t>
        </is>
      </c>
      <c r="H5" s="148" t="inlineStr">
        <is>
          <t>Zone 1 No.</t>
        </is>
      </c>
      <c r="I5" s="216" t="inlineStr">
        <is>
          <t>Unit</t>
        </is>
      </c>
      <c r="J5" s="151" t="inlineStr">
        <is>
          <t>Zone 2
EQ Description</t>
        </is>
      </c>
      <c r="K5" s="220" t="inlineStr">
        <is>
          <t>Zone 2
SQ No.</t>
        </is>
      </c>
      <c r="L5" s="218" t="inlineStr">
        <is>
          <t>Zone 2
Description</t>
        </is>
      </c>
      <c r="M5" s="148" t="inlineStr">
        <is>
          <t>Zone 2 No.</t>
        </is>
      </c>
      <c r="N5" s="300" t="n"/>
      <c r="O5" s="300" t="n"/>
      <c r="P5" s="300" t="n"/>
      <c r="Q5" s="300" t="n"/>
      <c r="T5" s="60" t="inlineStr">
        <is>
          <t>UTP</t>
        </is>
      </c>
      <c r="U5" s="60" t="n"/>
    </row>
    <row r="6" ht="35.1" customFormat="1" customHeight="1" s="23">
      <c r="A6" s="144" t="n"/>
      <c r="B6" s="169" t="n"/>
      <c r="C6" s="170" t="n"/>
      <c r="D6" s="170" t="n"/>
      <c r="E6" s="171" t="n"/>
      <c r="F6" s="172" t="n"/>
      <c r="G6" s="171" t="n"/>
      <c r="H6" s="169" t="n"/>
      <c r="I6" s="170" t="n"/>
      <c r="J6" s="171" t="n"/>
      <c r="K6" s="172" t="n"/>
      <c r="L6" s="171" t="n"/>
      <c r="M6" s="169" t="n"/>
      <c r="N6" s="171" t="n"/>
      <c r="O6" s="171" t="n"/>
      <c r="P6" s="171" t="n"/>
      <c r="Q6" s="169" t="n"/>
      <c r="R6" s="22" t="n"/>
      <c r="S6" s="22" t="n"/>
      <c r="T6" s="60" t="inlineStr">
        <is>
          <t>STP</t>
        </is>
      </c>
      <c r="U6" s="150" t="n"/>
    </row>
    <row r="7" ht="35.1" customFormat="1" customHeight="1" s="23">
      <c r="B7" s="169" t="n"/>
      <c r="C7" s="170" t="n"/>
      <c r="D7" s="170" t="n"/>
      <c r="E7" s="171" t="n"/>
      <c r="F7" s="172" t="n"/>
      <c r="G7" s="171" t="n"/>
      <c r="H7" s="169" t="n"/>
      <c r="I7" s="170" t="n"/>
      <c r="J7" s="171" t="n"/>
      <c r="K7" s="172" t="n"/>
      <c r="L7" s="171" t="n"/>
      <c r="M7" s="169" t="n"/>
      <c r="N7" s="171" t="n"/>
      <c r="O7" s="171" t="n"/>
      <c r="P7" s="171" t="n"/>
      <c r="Q7" s="169" t="n"/>
      <c r="R7" s="22" t="n"/>
      <c r="S7" s="22" t="n"/>
      <c r="T7" s="60" t="inlineStr">
        <is>
          <t>RS485</t>
        </is>
      </c>
      <c r="U7" s="150" t="n"/>
    </row>
    <row r="8" ht="35.1" customFormat="1" customHeight="1" s="23">
      <c r="A8" s="2" t="n"/>
      <c r="B8" s="2" t="n"/>
      <c r="C8" s="20" t="n"/>
      <c r="D8" s="20" t="n"/>
      <c r="E8" s="16" t="n"/>
      <c r="F8" s="19" t="n"/>
      <c r="G8" s="17" t="n"/>
      <c r="H8" s="18" t="n"/>
      <c r="I8" s="20" t="n"/>
      <c r="J8" s="16" t="n"/>
      <c r="K8" s="19" t="n"/>
      <c r="L8" s="17" t="n"/>
      <c r="M8" s="18" t="n"/>
      <c r="N8" s="17" t="n"/>
      <c r="O8" s="17" t="n"/>
      <c r="P8" s="17" t="n"/>
      <c r="Q8" s="2" t="n"/>
      <c r="R8" s="22" t="n"/>
      <c r="S8" s="22" t="n"/>
      <c r="T8" s="60" t="inlineStr">
        <is>
          <t>Coaxial</t>
        </is>
      </c>
      <c r="U8" s="60" t="n"/>
    </row>
    <row r="9" ht="35.1" customFormat="1" customHeight="1" s="23">
      <c r="A9" s="2" t="n"/>
      <c r="B9" s="2" t="n"/>
      <c r="C9" s="20" t="n"/>
      <c r="D9" s="20" t="n"/>
      <c r="E9" s="16" t="n"/>
      <c r="F9" s="19" t="n"/>
      <c r="G9" s="17" t="n"/>
      <c r="H9" s="18" t="n"/>
      <c r="I9" s="20" t="n"/>
      <c r="J9" s="16" t="n"/>
      <c r="K9" s="19" t="n"/>
      <c r="L9" s="17" t="n"/>
      <c r="M9" s="18" t="n"/>
      <c r="N9" s="17" t="n"/>
      <c r="O9" s="17" t="n"/>
      <c r="P9" s="17" t="n"/>
      <c r="Q9" s="2" t="n"/>
      <c r="T9" s="60" t="n"/>
      <c r="U9" s="60" t="n"/>
    </row>
    <row r="10" ht="35.1" customFormat="1" customHeight="1" s="23">
      <c r="A10" s="2" t="n"/>
      <c r="B10" s="2" t="n"/>
      <c r="C10" s="20" t="n"/>
      <c r="D10" s="20" t="n"/>
      <c r="E10" s="16" t="n"/>
      <c r="F10" s="19" t="n"/>
      <c r="G10" s="17" t="n"/>
      <c r="H10" s="18" t="n"/>
      <c r="I10" s="20" t="n"/>
      <c r="J10" s="16" t="n"/>
      <c r="K10" s="19" t="n"/>
      <c r="L10" s="17" t="n"/>
      <c r="M10" s="18" t="n"/>
      <c r="N10" s="17" t="n"/>
      <c r="O10" s="17" t="n"/>
      <c r="P10" s="17" t="n"/>
      <c r="Q10" s="2" t="n"/>
    </row>
  </sheetData>
  <mergeCells count="8">
    <mergeCell ref="I4:M4"/>
    <mergeCell ref="B4:B5"/>
    <mergeCell ref="Q4:Q5"/>
    <mergeCell ref="C4:C5"/>
    <mergeCell ref="N4:N5"/>
    <mergeCell ref="O4:O5"/>
    <mergeCell ref="P4:P5"/>
    <mergeCell ref="D4:H4"/>
  </mergeCells>
  <dataValidations disablePrompts="1" count="5">
    <dataValidation sqref="G1:G2 G6:G1048576 L1:L2 L6:L1048576" showDropDown="0" showInputMessage="1" showErrorMessage="1" allowBlank="1" type="list">
      <formula1>Elec_Room</formula1>
    </dataValidation>
    <dataValidation sqref="G5 L5" showDropDown="0" showInputMessage="1" showErrorMessage="1" allowBlank="1" prompt="'1.4_ Zone&amp;System' 시트 _x000a_Electrical Room 참조" type="list">
      <formula1>Elec_Room</formula1>
    </dataValidation>
    <dataValidation sqref="O4:O5" showDropDown="0" showInputMessage="1" showErrorMessage="1" allowBlank="1" prompt="Equipment 당 필요한 Communication Line_x000a_최종 반영 = Cable Qty(B) x EQ Qty(A)"/>
    <dataValidation sqref="C4:C5" showDropDown="0" showInputMessage="1" showErrorMessage="1" allowBlank="1" prompt="Equipment 수량_x000a_최종 반영 = Cable Qty(B) x EQ Qty(A)"/>
    <dataValidation sqref="P1:P2 P4:P1048576" showDropDown="0" showInputMessage="1" showErrorMessage="1" allowBlank="1" type="list">
      <formula1>Comm_Cable_Type</formula1>
    </dataValidation>
  </dataValidations>
  <pageMargins left="0.7" right="0.7" top="0.75" bottom="0.75" header="0.3" footer="0.3"/>
  <pageSetup orientation="portrait" paperSize="9" verticalDpi="0"/>
</worksheet>
</file>

<file path=xl/worksheets/sheet5.xml><?xml version="1.0" encoding="utf-8"?>
<worksheet xmlns="http://schemas.openxmlformats.org/spreadsheetml/2006/main">
  <sheetPr codeName="Sheet26">
    <tabColor rgb="FFFFFF00"/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6.5"/>
  <cols>
    <col width="12.375" customWidth="1" style="247" min="2" max="2"/>
    <col width="57" customWidth="1" style="247" min="6" max="6"/>
  </cols>
  <sheetData>
    <row r="1" ht="17.25" customHeight="1" s="247">
      <c r="A1" s="24" t="inlineStr">
        <is>
          <t>Type</t>
        </is>
      </c>
      <c r="B1" s="24" t="inlineStr">
        <is>
          <t>Description</t>
        </is>
      </c>
      <c r="C1" s="25" t="inlineStr">
        <is>
          <t>Length</t>
        </is>
      </c>
      <c r="D1" s="33" t="inlineStr">
        <is>
          <t>UNIT</t>
        </is>
      </c>
    </row>
    <row r="2" ht="20.25" customHeight="1" s="247">
      <c r="A2" s="221" t="inlineStr">
        <is>
          <t>Trench</t>
        </is>
      </c>
      <c r="B2" s="12" t="n"/>
      <c r="C2" s="310" t="n"/>
      <c r="D2" s="311" t="n"/>
      <c r="F2" s="30" t="inlineStr">
        <is>
          <t>Note</t>
        </is>
      </c>
    </row>
    <row r="3">
      <c r="A3" s="312" t="n"/>
      <c r="B3" s="12" t="n"/>
      <c r="C3" s="310" t="n"/>
      <c r="D3" s="311" t="n"/>
      <c r="F3" s="31" t="inlineStr">
        <is>
          <t>1. Refer to Main Cable Route issued by Elec. ENG</t>
        </is>
      </c>
    </row>
    <row r="4">
      <c r="A4" s="312" t="n"/>
      <c r="B4" s="12" t="n"/>
      <c r="C4" s="310" t="n"/>
      <c r="D4" s="311" t="n"/>
      <c r="F4" s="32" t="inlineStr">
        <is>
          <t>2. Refer to Length per raceway type informed by Elec. ENG</t>
        </is>
      </c>
    </row>
    <row r="5">
      <c r="A5" s="312" t="n"/>
      <c r="B5" s="12" t="n"/>
      <c r="C5" s="310" t="n"/>
      <c r="D5" s="311" t="n"/>
      <c r="F5" s="141" t="inlineStr">
        <is>
          <t xml:space="preserve"> - Length shall be measured by I&amp;C ENG if Elec. ENG not inform</t>
        </is>
      </c>
    </row>
    <row r="6">
      <c r="A6" s="312" t="n"/>
      <c r="B6" s="12" t="n"/>
      <c r="C6" s="310" t="n"/>
      <c r="D6" s="311" t="n"/>
    </row>
    <row r="7">
      <c r="A7" s="312" t="n"/>
      <c r="B7" s="12" t="n"/>
      <c r="C7" s="310" t="n"/>
      <c r="D7" s="311" t="n"/>
    </row>
    <row r="8">
      <c r="A8" s="312" t="n"/>
      <c r="B8" s="12" t="n"/>
      <c r="C8" s="310" t="n"/>
      <c r="D8" s="311" t="n"/>
    </row>
    <row r="9">
      <c r="A9" s="312" t="n"/>
      <c r="B9" s="12" t="n"/>
      <c r="C9" s="310" t="n"/>
      <c r="D9" s="311" t="n"/>
    </row>
    <row r="10">
      <c r="A10" s="312" t="n"/>
      <c r="B10" s="12" t="n"/>
      <c r="C10" s="310" t="n"/>
      <c r="D10" s="311" t="n"/>
    </row>
    <row r="11">
      <c r="A11" s="312" t="n"/>
      <c r="B11" s="12" t="n"/>
      <c r="C11" s="310" t="n"/>
      <c r="D11" s="311" t="n"/>
    </row>
    <row r="12">
      <c r="A12" s="312" t="n"/>
      <c r="B12" s="12" t="n"/>
      <c r="C12" s="310" t="n"/>
      <c r="D12" s="311" t="n"/>
    </row>
    <row r="13">
      <c r="A13" s="312" t="n"/>
      <c r="B13" s="12" t="n"/>
      <c r="C13" s="310" t="n"/>
      <c r="D13" s="311" t="n"/>
    </row>
    <row r="14">
      <c r="A14" s="312" t="n"/>
      <c r="B14" s="12" t="n"/>
      <c r="C14" s="310" t="n"/>
      <c r="D14" s="311" t="n"/>
    </row>
    <row r="15">
      <c r="A15" s="312" t="n"/>
      <c r="B15" s="12" t="n"/>
      <c r="C15" s="310" t="n"/>
      <c r="D15" s="311" t="n"/>
    </row>
    <row r="16">
      <c r="A16" s="312" t="n"/>
      <c r="B16" s="12" t="n"/>
      <c r="C16" s="313" t="n"/>
      <c r="D16" s="311" t="n"/>
    </row>
    <row r="17">
      <c r="A17" s="312" t="n"/>
      <c r="B17" s="12" t="n"/>
      <c r="C17" s="313" t="n"/>
      <c r="D17" s="311" t="n"/>
    </row>
    <row r="18">
      <c r="A18" s="314" t="n"/>
      <c r="B18" s="28" t="n"/>
      <c r="C18" s="315" t="n"/>
      <c r="D18" s="316" t="n"/>
    </row>
    <row r="19">
      <c r="A19" s="221" t="inlineStr">
        <is>
          <t>Ductbaml</t>
        </is>
      </c>
      <c r="B19" s="12" t="n"/>
      <c r="C19" s="310" t="n"/>
      <c r="D19" s="311" t="n"/>
    </row>
    <row r="20">
      <c r="A20" s="312" t="n"/>
      <c r="B20" s="12" t="n"/>
      <c r="C20" s="310" t="n"/>
      <c r="D20" s="311" t="n"/>
    </row>
    <row r="21">
      <c r="A21" s="312" t="n"/>
      <c r="B21" s="12" t="n"/>
      <c r="C21" s="310" t="n"/>
      <c r="D21" s="311" t="n"/>
    </row>
    <row r="22">
      <c r="A22" s="312" t="n"/>
      <c r="B22" s="12" t="n"/>
      <c r="C22" s="310" t="n"/>
      <c r="D22" s="311" t="n"/>
    </row>
    <row r="23">
      <c r="A23" s="312" t="n"/>
      <c r="B23" s="12" t="n"/>
      <c r="C23" s="310" t="n"/>
      <c r="D23" s="311" t="n"/>
    </row>
    <row r="24">
      <c r="A24" s="312" t="n"/>
      <c r="B24" s="12" t="n"/>
      <c r="C24" s="310" t="n"/>
      <c r="D24" s="311" t="n"/>
    </row>
    <row r="25">
      <c r="A25" s="312" t="n"/>
      <c r="B25" s="12" t="n"/>
      <c r="C25" s="310" t="n"/>
      <c r="D25" s="311" t="n"/>
    </row>
    <row r="26">
      <c r="A26" s="312" t="n"/>
      <c r="B26" s="12" t="n"/>
      <c r="C26" s="310" t="n"/>
      <c r="D26" s="311" t="n"/>
    </row>
    <row r="27">
      <c r="A27" s="312" t="n"/>
      <c r="B27" s="12" t="n"/>
      <c r="C27" s="310" t="n"/>
      <c r="D27" s="311" t="n"/>
    </row>
    <row r="28">
      <c r="A28" s="312" t="n"/>
      <c r="B28" s="12" t="n"/>
      <c r="C28" s="310" t="n"/>
      <c r="D28" s="311" t="n"/>
    </row>
    <row r="29">
      <c r="A29" s="312" t="n"/>
      <c r="B29" s="12" t="n"/>
      <c r="C29" s="310" t="n"/>
      <c r="D29" s="311" t="n"/>
    </row>
    <row r="30">
      <c r="A30" s="312" t="n"/>
      <c r="B30" s="12" t="n"/>
      <c r="C30" s="310" t="n"/>
      <c r="D30" s="311" t="n"/>
    </row>
    <row r="31">
      <c r="A31" s="312" t="n"/>
      <c r="B31" s="12" t="n"/>
      <c r="C31" s="310" t="n"/>
      <c r="D31" s="311" t="n"/>
    </row>
    <row r="32">
      <c r="A32" s="312" t="n"/>
      <c r="B32" s="12" t="n"/>
      <c r="C32" s="310" t="n"/>
      <c r="D32" s="311" t="n"/>
    </row>
    <row r="33">
      <c r="A33" s="312" t="n"/>
      <c r="B33" s="12" t="n"/>
      <c r="C33" s="310" t="n"/>
      <c r="D33" s="311" t="n"/>
    </row>
    <row r="34">
      <c r="A34" s="312" t="n"/>
      <c r="B34" s="12" t="n"/>
      <c r="C34" s="310" t="n"/>
      <c r="D34" s="311" t="n"/>
    </row>
    <row r="35">
      <c r="A35" s="312" t="n"/>
      <c r="B35" s="12" t="n"/>
      <c r="C35" s="310" t="n"/>
      <c r="D35" s="311" t="n"/>
    </row>
    <row r="36">
      <c r="A36" s="312" t="n"/>
      <c r="B36" s="12" t="n"/>
      <c r="C36" s="310" t="n"/>
      <c r="D36" s="311" t="n"/>
    </row>
    <row r="37" ht="13.5" customFormat="1" customHeight="1" s="15">
      <c r="A37" s="312" t="n"/>
      <c r="B37" s="12" t="n"/>
      <c r="C37" s="310" t="n"/>
      <c r="D37" s="311" t="n"/>
    </row>
    <row r="38" ht="13.5" customFormat="1" customHeight="1" s="15">
      <c r="A38" s="312" t="n"/>
      <c r="B38" s="12" t="n"/>
      <c r="C38" s="310" t="n"/>
      <c r="D38" s="311" t="n"/>
    </row>
    <row r="39" ht="13.5" customFormat="1" customHeight="1" s="15">
      <c r="A39" s="312" t="n"/>
      <c r="B39" s="12" t="n"/>
      <c r="C39" s="310" t="n"/>
      <c r="D39" s="311" t="n"/>
    </row>
    <row r="40" ht="13.5" customFormat="1" customHeight="1" s="15">
      <c r="A40" s="312" t="n"/>
      <c r="B40" s="12" t="n"/>
      <c r="C40" s="310" t="n"/>
      <c r="D40" s="311" t="n"/>
    </row>
    <row r="41" ht="13.5" customFormat="1" customHeight="1" s="15">
      <c r="A41" s="312" t="n"/>
      <c r="B41" s="12" t="n"/>
      <c r="C41" s="310" t="n"/>
      <c r="D41" s="311" t="n"/>
    </row>
    <row r="42" ht="13.5" customFormat="1" customHeight="1" s="15">
      <c r="A42" s="312" t="n"/>
      <c r="B42" s="12" t="n"/>
      <c r="C42" s="310" t="n"/>
      <c r="D42" s="311" t="n"/>
    </row>
    <row r="43" ht="13.5" customFormat="1" customHeight="1" s="15">
      <c r="A43" s="312" t="n"/>
      <c r="B43" s="12" t="n"/>
      <c r="C43" s="310" t="n"/>
      <c r="D43" s="311" t="n"/>
    </row>
    <row r="44" ht="13.5" customFormat="1" customHeight="1" s="15">
      <c r="A44" s="312" t="n"/>
      <c r="B44" s="12" t="n"/>
      <c r="C44" s="310" t="n"/>
      <c r="D44" s="311" t="n"/>
    </row>
    <row r="45" ht="13.5" customFormat="1" customHeight="1" s="15">
      <c r="A45" s="312" t="n"/>
      <c r="B45" s="12" t="n"/>
      <c r="C45" s="310" t="n"/>
      <c r="D45" s="311" t="n"/>
    </row>
    <row r="46" ht="13.5" customFormat="1" customHeight="1" s="15">
      <c r="A46" s="312" t="n"/>
      <c r="B46" s="12" t="n"/>
      <c r="C46" s="310" t="n"/>
      <c r="D46" s="311" t="n"/>
    </row>
    <row r="47" ht="13.5" customFormat="1" customHeight="1" s="15">
      <c r="A47" s="312" t="n"/>
      <c r="B47" s="12" t="n"/>
      <c r="C47" s="310" t="n"/>
      <c r="D47" s="311" t="n"/>
    </row>
    <row r="48" ht="13.5" customFormat="1" customHeight="1" s="15">
      <c r="A48" s="312" t="n"/>
      <c r="B48" s="12" t="n"/>
      <c r="C48" s="310" t="n"/>
      <c r="D48" s="311" t="n"/>
    </row>
    <row r="49" ht="13.5" customFormat="1" customHeight="1" s="15">
      <c r="A49" s="312" t="n"/>
      <c r="B49" s="12" t="n"/>
      <c r="C49" s="310" t="n"/>
      <c r="D49" s="311" t="n"/>
    </row>
    <row r="50" ht="13.5" customFormat="1" customHeight="1" s="15">
      <c r="A50" s="312" t="n"/>
      <c r="B50" s="12" t="n"/>
      <c r="C50" s="310" t="n"/>
      <c r="D50" s="311" t="n"/>
    </row>
    <row r="51" ht="13.5" customFormat="1" customHeight="1" s="15">
      <c r="A51" s="312" t="n"/>
      <c r="B51" s="12" t="n"/>
      <c r="C51" s="310" t="n"/>
      <c r="D51" s="311" t="n"/>
    </row>
    <row r="52" ht="13.5" customFormat="1" customHeight="1" s="15">
      <c r="A52" s="312" t="n"/>
      <c r="B52" s="12" t="n"/>
      <c r="C52" s="310" t="n"/>
      <c r="D52" s="311" t="n"/>
    </row>
    <row r="53" ht="13.5" customFormat="1" customHeight="1" s="15">
      <c r="A53" s="312" t="n"/>
      <c r="B53" s="12" t="n"/>
      <c r="C53" s="310" t="n"/>
      <c r="D53" s="311" t="n"/>
    </row>
    <row r="54" ht="13.5" customFormat="1" customHeight="1" s="15">
      <c r="A54" s="312" t="n"/>
      <c r="B54" s="12" t="n"/>
      <c r="C54" s="310" t="n"/>
      <c r="D54" s="311" t="n"/>
    </row>
    <row r="55" ht="13.5" customFormat="1" customHeight="1" s="15">
      <c r="A55" s="312" t="n"/>
      <c r="B55" s="12" t="n"/>
      <c r="C55" s="310" t="n"/>
      <c r="D55" s="311" t="n"/>
    </row>
    <row r="56" ht="13.5" customFormat="1" customHeight="1" s="15">
      <c r="A56" s="312" t="n"/>
      <c r="B56" s="12" t="n"/>
      <c r="C56" s="310" t="n"/>
      <c r="D56" s="311" t="n"/>
    </row>
    <row r="57" ht="13.5" customFormat="1" customHeight="1" s="15">
      <c r="A57" s="312" t="n"/>
      <c r="B57" s="12" t="n"/>
      <c r="C57" s="310" t="n"/>
      <c r="D57" s="311" t="n"/>
    </row>
    <row r="58" ht="13.5" customFormat="1" customHeight="1" s="15">
      <c r="A58" s="312" t="n"/>
      <c r="B58" s="12" t="n"/>
      <c r="C58" s="310" t="n"/>
      <c r="D58" s="311" t="n"/>
    </row>
    <row r="59" ht="13.5" customFormat="1" customHeight="1" s="15">
      <c r="A59" s="312" t="n"/>
      <c r="B59" s="12" t="n"/>
      <c r="C59" s="310" t="n"/>
      <c r="D59" s="311" t="n"/>
    </row>
    <row r="60" ht="13.5" customFormat="1" customHeight="1" s="15">
      <c r="A60" s="312" t="n"/>
      <c r="B60" s="12" t="n"/>
      <c r="C60" s="310" t="n"/>
      <c r="D60" s="311" t="n"/>
    </row>
    <row r="61" ht="13.5" customFormat="1" customHeight="1" s="15">
      <c r="A61" s="312" t="n"/>
      <c r="B61" s="12" t="n"/>
      <c r="C61" s="310" t="n"/>
      <c r="D61" s="311" t="n"/>
    </row>
    <row r="62" ht="13.5" customFormat="1" customHeight="1" s="15">
      <c r="A62" s="312" t="n"/>
      <c r="B62" s="12" t="n"/>
      <c r="C62" s="310" t="n"/>
      <c r="D62" s="311" t="n"/>
    </row>
    <row r="63" ht="13.5" customFormat="1" customHeight="1" s="15">
      <c r="A63" s="312" t="n"/>
      <c r="B63" s="12" t="n"/>
      <c r="C63" s="310" t="n"/>
      <c r="D63" s="311" t="n"/>
    </row>
    <row r="64" ht="13.5" customFormat="1" customHeight="1" s="15">
      <c r="A64" s="312" t="n"/>
      <c r="B64" s="12" t="n"/>
      <c r="C64" s="310" t="n"/>
      <c r="D64" s="311" t="n"/>
    </row>
    <row r="65" ht="13.5" customFormat="1" customHeight="1" s="15">
      <c r="A65" s="312" t="n"/>
      <c r="B65" s="12" t="n"/>
      <c r="C65" s="310" t="n"/>
      <c r="D65" s="311" t="n"/>
    </row>
    <row r="66" ht="13.5" customFormat="1" customHeight="1" s="15">
      <c r="A66" s="312" t="n"/>
      <c r="B66" s="12" t="n"/>
      <c r="C66" s="310" t="n"/>
      <c r="D66" s="311" t="n"/>
    </row>
    <row r="67">
      <c r="A67" s="312" t="n"/>
      <c r="B67" s="12" t="n"/>
      <c r="C67" s="310" t="n"/>
      <c r="D67" s="311" t="n"/>
    </row>
    <row r="68">
      <c r="A68" s="312" t="n"/>
      <c r="B68" s="12" t="n"/>
      <c r="C68" s="310" t="n"/>
      <c r="D68" s="311" t="n"/>
    </row>
    <row r="69">
      <c r="A69" s="312" t="n"/>
      <c r="B69" s="12" t="n"/>
      <c r="C69" s="310" t="n"/>
      <c r="D69" s="311" t="n"/>
    </row>
    <row r="70">
      <c r="A70" s="312" t="n"/>
      <c r="B70" s="12" t="n"/>
      <c r="C70" s="310" t="n"/>
      <c r="D70" s="311" t="n"/>
    </row>
    <row r="71">
      <c r="A71" s="312" t="n"/>
      <c r="B71" s="12" t="n"/>
      <c r="C71" s="310" t="n"/>
      <c r="D71" s="311" t="n"/>
    </row>
    <row r="72">
      <c r="A72" s="312" t="n"/>
      <c r="B72" s="12" t="n"/>
      <c r="C72" s="310" t="n"/>
      <c r="D72" s="311" t="n"/>
    </row>
    <row r="73">
      <c r="A73" s="312" t="n"/>
      <c r="B73" s="12" t="n"/>
      <c r="C73" s="310" t="n"/>
      <c r="D73" s="311" t="n"/>
    </row>
    <row r="74">
      <c r="A74" s="312" t="n"/>
      <c r="B74" s="12" t="n"/>
      <c r="C74" s="310" t="n"/>
      <c r="D74" s="311" t="n"/>
    </row>
    <row r="75">
      <c r="A75" s="312" t="n"/>
      <c r="B75" s="12" t="n"/>
      <c r="C75" s="310" t="n"/>
      <c r="D75" s="311" t="n"/>
    </row>
    <row r="76">
      <c r="A76" s="312" t="n"/>
      <c r="B76" s="12" t="n"/>
      <c r="C76" s="310" t="n"/>
      <c r="D76" s="311" t="n"/>
    </row>
    <row r="77">
      <c r="A77" s="312" t="n"/>
      <c r="B77" s="12" t="n"/>
      <c r="C77" s="310" t="n"/>
      <c r="D77" s="311" t="n"/>
    </row>
    <row r="78">
      <c r="A78" s="312" t="n"/>
      <c r="B78" s="12" t="n"/>
      <c r="C78" s="310" t="n"/>
      <c r="D78" s="311" t="n"/>
    </row>
    <row r="79">
      <c r="A79" s="312" t="n"/>
      <c r="B79" s="12" t="n"/>
      <c r="C79" s="310" t="n"/>
      <c r="D79" s="311" t="n"/>
    </row>
    <row r="80">
      <c r="A80" s="312" t="n"/>
      <c r="B80" s="12" t="n"/>
      <c r="C80" s="310" t="n"/>
      <c r="D80" s="311" t="n"/>
    </row>
    <row r="81">
      <c r="A81" s="312" t="n"/>
      <c r="B81" s="12" t="n"/>
      <c r="C81" s="310" t="n"/>
      <c r="D81" s="311" t="n"/>
    </row>
    <row r="82">
      <c r="A82" s="312" t="n"/>
      <c r="B82" s="12" t="n"/>
      <c r="C82" s="310" t="n"/>
      <c r="D82" s="311" t="n"/>
    </row>
    <row r="83">
      <c r="A83" s="312" t="n"/>
      <c r="B83" s="12" t="n"/>
      <c r="C83" s="310" t="n"/>
      <c r="D83" s="311" t="n"/>
    </row>
    <row r="84">
      <c r="A84" s="312" t="n"/>
      <c r="B84" s="12" t="n"/>
      <c r="C84" s="310" t="n"/>
      <c r="D84" s="311" t="n"/>
    </row>
    <row r="85">
      <c r="A85" s="312" t="n"/>
      <c r="B85" s="12" t="n"/>
      <c r="C85" s="310" t="n"/>
      <c r="D85" s="311" t="n"/>
    </row>
    <row r="86">
      <c r="A86" s="312" t="n"/>
      <c r="B86" s="12" t="n"/>
      <c r="C86" s="310" t="n"/>
      <c r="D86" s="311" t="n"/>
    </row>
    <row r="87">
      <c r="A87" s="312" t="n"/>
      <c r="B87" s="12" t="n"/>
      <c r="C87" s="310" t="n"/>
      <c r="D87" s="311" t="n"/>
    </row>
    <row r="88">
      <c r="A88" s="312" t="n"/>
      <c r="B88" s="12" t="n"/>
      <c r="C88" s="310" t="n"/>
      <c r="D88" s="311" t="n"/>
    </row>
    <row r="89">
      <c r="A89" s="312" t="n"/>
      <c r="B89" s="12" t="n"/>
      <c r="C89" s="310" t="n"/>
      <c r="D89" s="311" t="n"/>
    </row>
    <row r="90">
      <c r="A90" s="312" t="n"/>
      <c r="B90" s="12" t="n"/>
      <c r="C90" s="310" t="n"/>
      <c r="D90" s="311" t="n"/>
    </row>
    <row r="91">
      <c r="A91" s="312" t="n"/>
      <c r="B91" s="12" t="n"/>
      <c r="C91" s="310" t="n"/>
      <c r="D91" s="311" t="n"/>
    </row>
    <row r="92">
      <c r="A92" s="312" t="n"/>
      <c r="B92" s="12" t="n"/>
      <c r="C92" s="310" t="n"/>
      <c r="D92" s="311" t="n"/>
    </row>
    <row r="93">
      <c r="A93" s="312" t="n"/>
      <c r="B93" s="12" t="n"/>
      <c r="C93" s="310" t="n"/>
      <c r="D93" s="311" t="n"/>
    </row>
    <row r="94">
      <c r="A94" s="312" t="n"/>
      <c r="B94" s="12" t="n"/>
      <c r="C94" s="310" t="n"/>
      <c r="D94" s="311" t="n"/>
    </row>
    <row r="95">
      <c r="A95" s="312" t="n"/>
      <c r="B95" s="12" t="n"/>
      <c r="C95" s="310" t="n"/>
      <c r="D95" s="311" t="n"/>
    </row>
    <row r="96">
      <c r="A96" s="312" t="n"/>
      <c r="B96" s="12" t="n"/>
      <c r="C96" s="310" t="n"/>
      <c r="D96" s="311" t="n"/>
    </row>
    <row r="97">
      <c r="A97" s="312" t="n"/>
      <c r="B97" s="12" t="n"/>
      <c r="C97" s="310" t="n"/>
      <c r="D97" s="311" t="n"/>
    </row>
    <row r="98">
      <c r="A98" s="312" t="n"/>
      <c r="B98" s="12" t="n"/>
      <c r="C98" s="310" t="n"/>
      <c r="D98" s="311" t="n"/>
    </row>
    <row r="99">
      <c r="A99" s="312" t="n"/>
      <c r="B99" s="12" t="n"/>
      <c r="C99" s="310" t="n"/>
      <c r="D99" s="311" t="n"/>
    </row>
    <row r="100">
      <c r="A100" s="312" t="n"/>
      <c r="B100" s="12" t="n"/>
      <c r="C100" s="310" t="n"/>
      <c r="D100" s="311" t="n"/>
    </row>
    <row r="101">
      <c r="A101" s="312" t="n"/>
      <c r="B101" s="12" t="n"/>
      <c r="C101" s="310" t="n"/>
      <c r="D101" s="311" t="n"/>
    </row>
    <row r="102">
      <c r="A102" s="312" t="n"/>
      <c r="B102" s="12" t="n"/>
      <c r="C102" s="310" t="n"/>
      <c r="D102" s="311" t="n"/>
    </row>
    <row r="103">
      <c r="A103" s="312" t="n"/>
      <c r="B103" s="12" t="n"/>
      <c r="C103" s="310" t="n"/>
      <c r="D103" s="311" t="n"/>
    </row>
    <row r="104">
      <c r="A104" s="312" t="n"/>
      <c r="B104" s="12" t="n"/>
      <c r="C104" s="310" t="n"/>
      <c r="D104" s="311" t="n"/>
    </row>
    <row r="105">
      <c r="A105" s="312" t="n"/>
      <c r="B105" s="12" t="n"/>
      <c r="C105" s="310" t="n"/>
      <c r="D105" s="311" t="n"/>
    </row>
    <row r="106">
      <c r="A106" s="312" t="n"/>
      <c r="B106" s="12" t="n"/>
      <c r="C106" s="310" t="n"/>
      <c r="D106" s="311" t="n"/>
    </row>
    <row r="107">
      <c r="A107" s="312" t="n"/>
      <c r="B107" s="12" t="n"/>
      <c r="C107" s="310" t="n"/>
      <c r="D107" s="311" t="n"/>
    </row>
    <row r="108">
      <c r="A108" s="312" t="n"/>
      <c r="B108" s="12" t="n"/>
      <c r="C108" s="310" t="n"/>
      <c r="D108" s="311" t="n"/>
    </row>
    <row r="109">
      <c r="A109" s="312" t="n"/>
      <c r="B109" s="12" t="n"/>
      <c r="C109" s="310" t="n"/>
      <c r="D109" s="311" t="n"/>
    </row>
    <row r="110">
      <c r="A110" s="312" t="n"/>
      <c r="B110" s="12" t="n"/>
      <c r="C110" s="310" t="n"/>
      <c r="D110" s="311" t="n"/>
    </row>
    <row r="111">
      <c r="A111" s="312" t="n"/>
      <c r="B111" s="12" t="n"/>
      <c r="C111" s="310" t="n"/>
      <c r="D111" s="311" t="n"/>
    </row>
    <row r="112">
      <c r="A112" s="312" t="n"/>
      <c r="B112" s="12" t="n"/>
      <c r="C112" s="310" t="n"/>
      <c r="D112" s="311" t="n"/>
    </row>
    <row r="113">
      <c r="A113" s="312" t="n"/>
      <c r="B113" s="12" t="n"/>
      <c r="C113" s="310" t="n"/>
      <c r="D113" s="311" t="n"/>
    </row>
    <row r="114">
      <c r="A114" s="312" t="n"/>
      <c r="B114" s="12" t="n"/>
      <c r="C114" s="310" t="n"/>
      <c r="D114" s="311" t="n"/>
    </row>
    <row r="115">
      <c r="A115" s="312" t="n"/>
      <c r="B115" s="12" t="n"/>
      <c r="C115" s="310" t="n"/>
      <c r="D115" s="311" t="n"/>
    </row>
    <row r="116">
      <c r="A116" s="312" t="n"/>
      <c r="B116" s="12" t="n"/>
      <c r="C116" s="310" t="n"/>
      <c r="D116" s="311" t="n"/>
    </row>
    <row r="117">
      <c r="A117" s="312" t="n"/>
      <c r="B117" s="12" t="n"/>
      <c r="C117" s="310" t="n"/>
      <c r="D117" s="311" t="n"/>
    </row>
    <row r="118">
      <c r="A118" s="312" t="n"/>
      <c r="B118" s="12" t="n"/>
      <c r="C118" s="310" t="n"/>
      <c r="D118" s="311" t="n"/>
    </row>
    <row r="119">
      <c r="A119" s="312" t="n"/>
      <c r="B119" s="12" t="n"/>
      <c r="C119" s="310" t="n"/>
      <c r="D119" s="311" t="n"/>
    </row>
    <row r="120">
      <c r="A120" s="312" t="n"/>
      <c r="B120" s="12" t="n"/>
      <c r="C120" s="310" t="n"/>
      <c r="D120" s="311" t="n"/>
    </row>
    <row r="121">
      <c r="A121" s="312" t="n"/>
      <c r="B121" s="12" t="n"/>
      <c r="C121" s="310" t="n"/>
      <c r="D121" s="311" t="n"/>
    </row>
    <row r="122">
      <c r="A122" s="312" t="n"/>
      <c r="B122" s="12" t="n"/>
      <c r="C122" s="310" t="n"/>
      <c r="D122" s="311" t="n"/>
    </row>
    <row r="123">
      <c r="A123" s="312" t="n"/>
      <c r="B123" s="12" t="n"/>
      <c r="C123" s="310" t="n"/>
      <c r="D123" s="311" t="n"/>
    </row>
    <row r="124">
      <c r="A124" s="312" t="n"/>
      <c r="B124" s="12" t="n"/>
      <c r="C124" s="310" t="n"/>
      <c r="D124" s="311" t="n"/>
    </row>
    <row r="125">
      <c r="A125" s="312" t="n"/>
      <c r="B125" s="12" t="n"/>
      <c r="C125" s="310" t="n"/>
      <c r="D125" s="311" t="n"/>
    </row>
    <row r="126">
      <c r="A126" s="312" t="n"/>
      <c r="B126" s="12" t="n"/>
      <c r="C126" s="310" t="n"/>
      <c r="D126" s="311" t="n"/>
    </row>
    <row r="127">
      <c r="A127" s="312" t="n"/>
      <c r="B127" s="12" t="n"/>
      <c r="C127" s="310" t="n"/>
      <c r="D127" s="311" t="n"/>
    </row>
    <row r="128">
      <c r="A128" s="312" t="n"/>
      <c r="B128" s="12" t="n"/>
      <c r="C128" s="310" t="n"/>
      <c r="D128" s="311" t="n"/>
    </row>
    <row r="129">
      <c r="A129" s="312" t="n"/>
      <c r="B129" s="12" t="n"/>
      <c r="C129" s="310" t="n"/>
      <c r="D129" s="311" t="n"/>
    </row>
    <row r="130">
      <c r="A130" s="312" t="n"/>
      <c r="B130" s="12" t="n"/>
      <c r="C130" s="310" t="n"/>
      <c r="D130" s="311" t="n"/>
    </row>
    <row r="131">
      <c r="A131" s="312" t="n"/>
      <c r="B131" s="12" t="n"/>
      <c r="C131" s="310" t="n"/>
      <c r="D131" s="311" t="n"/>
    </row>
    <row r="132">
      <c r="A132" s="312" t="n"/>
      <c r="B132" s="12" t="n"/>
      <c r="C132" s="310" t="n"/>
      <c r="D132" s="311" t="n"/>
    </row>
    <row r="133">
      <c r="A133" s="312" t="n"/>
      <c r="B133" s="12" t="n"/>
      <c r="C133" s="310" t="n"/>
      <c r="D133" s="311" t="n"/>
    </row>
    <row r="134">
      <c r="A134" s="312" t="n"/>
      <c r="B134" s="12" t="n"/>
      <c r="C134" s="310" t="n"/>
      <c r="D134" s="311" t="n"/>
    </row>
    <row r="135">
      <c r="A135" s="312" t="n"/>
      <c r="B135" s="12" t="n"/>
      <c r="C135" s="310" t="n"/>
      <c r="D135" s="311" t="n"/>
    </row>
    <row r="136">
      <c r="A136" s="312" t="n"/>
      <c r="B136" s="12" t="n"/>
      <c r="C136" s="310" t="n"/>
      <c r="D136" s="311" t="n"/>
    </row>
    <row r="137">
      <c r="A137" s="312" t="n"/>
      <c r="B137" s="12" t="n"/>
      <c r="C137" s="310" t="n"/>
      <c r="D137" s="311" t="n"/>
    </row>
    <row r="138">
      <c r="A138" s="314" t="n"/>
      <c r="B138" s="28" t="n"/>
      <c r="C138" s="315" t="n"/>
      <c r="D138" s="316" t="n"/>
    </row>
    <row r="139">
      <c r="A139" s="225" t="inlineStr">
        <is>
          <t>Tray</t>
        </is>
      </c>
      <c r="B139" s="10" t="n"/>
      <c r="C139" s="310" t="n"/>
      <c r="D139" s="311" t="n"/>
    </row>
    <row r="140">
      <c r="A140" s="312" t="n"/>
      <c r="B140" s="11" t="n"/>
      <c r="C140" s="313" t="n"/>
      <c r="D140" s="311" t="n"/>
    </row>
    <row r="141">
      <c r="A141" s="312" t="n"/>
      <c r="B141" s="11" t="n"/>
      <c r="C141" s="313" t="n"/>
      <c r="D141" s="311" t="n"/>
    </row>
    <row r="142">
      <c r="A142" s="312" t="n"/>
      <c r="B142" s="11" t="n"/>
      <c r="C142" s="313" t="n"/>
      <c r="D142" s="311" t="n"/>
    </row>
    <row r="143">
      <c r="A143" s="312" t="n"/>
      <c r="B143" s="11" t="n"/>
      <c r="C143" s="313" t="n"/>
      <c r="D143" s="311" t="n"/>
    </row>
    <row r="144">
      <c r="A144" s="312" t="n"/>
      <c r="B144" s="11" t="n"/>
      <c r="C144" s="313" t="n"/>
      <c r="D144" s="311" t="n"/>
    </row>
    <row r="145">
      <c r="A145" s="312" t="n"/>
      <c r="B145" s="11" t="n"/>
      <c r="C145" s="313" t="n"/>
      <c r="D145" s="311" t="n"/>
    </row>
    <row r="146">
      <c r="A146" s="312" t="n"/>
      <c r="B146" s="11" t="n"/>
      <c r="C146" s="313" t="n"/>
      <c r="D146" s="311" t="n"/>
    </row>
    <row r="147">
      <c r="A147" s="312" t="n"/>
      <c r="B147" s="11" t="n"/>
      <c r="C147" s="313" t="n"/>
      <c r="D147" s="311" t="n"/>
    </row>
    <row r="148">
      <c r="A148" s="312" t="n"/>
      <c r="B148" s="11" t="n"/>
      <c r="C148" s="313" t="n"/>
      <c r="D148" s="311" t="n"/>
    </row>
    <row r="149">
      <c r="A149" s="312" t="n"/>
      <c r="B149" s="11" t="n"/>
      <c r="C149" s="313" t="n"/>
      <c r="D149" s="311" t="n"/>
    </row>
    <row r="150">
      <c r="A150" s="312" t="n"/>
      <c r="B150" s="11" t="n"/>
      <c r="C150" s="313" t="n"/>
      <c r="D150" s="311" t="n"/>
    </row>
    <row r="151">
      <c r="A151" s="312" t="n"/>
      <c r="B151" s="11" t="n"/>
      <c r="C151" s="313" t="n"/>
      <c r="D151" s="311" t="n"/>
    </row>
    <row r="152">
      <c r="A152" s="312" t="n"/>
      <c r="B152" s="11" t="n"/>
      <c r="C152" s="313" t="n"/>
      <c r="D152" s="311" t="n"/>
    </row>
    <row r="153">
      <c r="A153" s="312" t="n"/>
      <c r="B153" s="11" t="n"/>
      <c r="C153" s="313" t="n"/>
      <c r="D153" s="311" t="n"/>
    </row>
    <row r="154">
      <c r="A154" s="312" t="n"/>
      <c r="B154" s="11" t="n"/>
      <c r="C154" s="313" t="n"/>
      <c r="D154" s="311" t="n"/>
    </row>
    <row r="155">
      <c r="A155" s="312" t="n"/>
      <c r="B155" s="11" t="n"/>
      <c r="C155" s="313" t="n"/>
      <c r="D155" s="311" t="n"/>
    </row>
    <row r="156">
      <c r="A156" s="312" t="n"/>
      <c r="B156" s="11" t="n"/>
      <c r="C156" s="313" t="n"/>
      <c r="D156" s="311" t="n"/>
    </row>
    <row r="157">
      <c r="A157" s="312" t="n"/>
      <c r="B157" s="11" t="n"/>
      <c r="C157" s="313" t="n"/>
      <c r="D157" s="311" t="n"/>
    </row>
    <row r="158">
      <c r="A158" s="312" t="n"/>
      <c r="B158" s="11" t="n"/>
      <c r="C158" s="313" t="n"/>
      <c r="D158" s="311" t="n"/>
    </row>
    <row r="159">
      <c r="A159" s="312" t="n"/>
      <c r="B159" s="11" t="n"/>
      <c r="C159" s="313" t="n"/>
      <c r="D159" s="311" t="n"/>
    </row>
    <row r="160">
      <c r="A160" s="312" t="n"/>
      <c r="B160" s="11" t="n"/>
      <c r="C160" s="313" t="n"/>
      <c r="D160" s="311" t="n"/>
    </row>
    <row r="161">
      <c r="A161" s="312" t="n"/>
      <c r="B161" s="11" t="n"/>
      <c r="C161" s="313" t="n"/>
      <c r="D161" s="311" t="n"/>
    </row>
    <row r="162">
      <c r="A162" s="312" t="n"/>
      <c r="B162" s="11" t="n"/>
      <c r="C162" s="313" t="n"/>
      <c r="D162" s="311" t="n"/>
    </row>
    <row r="163">
      <c r="A163" s="312" t="n"/>
      <c r="B163" s="11" t="n"/>
      <c r="C163" s="313" t="n"/>
      <c r="D163" s="311" t="n"/>
    </row>
    <row r="164">
      <c r="A164" s="312" t="n"/>
      <c r="B164" s="11" t="n"/>
      <c r="C164" s="313" t="n"/>
      <c r="D164" s="311" t="n"/>
    </row>
    <row r="165">
      <c r="A165" s="312" t="n"/>
      <c r="B165" s="11" t="n"/>
      <c r="C165" s="313" t="n"/>
      <c r="D165" s="311" t="n"/>
    </row>
    <row r="166">
      <c r="A166" s="312" t="n"/>
      <c r="B166" s="11" t="n"/>
      <c r="C166" s="313" t="n"/>
      <c r="D166" s="311" t="n"/>
    </row>
    <row r="167">
      <c r="A167" s="312" t="n"/>
      <c r="B167" s="11" t="n"/>
      <c r="C167" s="313" t="n"/>
      <c r="D167" s="311" t="n"/>
    </row>
    <row r="168">
      <c r="A168" s="314" t="n"/>
      <c r="B168" s="28" t="n"/>
      <c r="C168" s="315" t="n"/>
      <c r="D168" s="143" t="n"/>
    </row>
  </sheetData>
  <mergeCells count="3">
    <mergeCell ref="A2:A18"/>
    <mergeCell ref="A19:A138"/>
    <mergeCell ref="A139:A16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27">
    <tabColor rgb="FFFFFF00"/>
    <outlinePr summaryBelow="1" summaryRight="1"/>
    <pageSetUpPr/>
  </sheetPr>
  <dimension ref="B1:AH5"/>
  <sheetViews>
    <sheetView workbookViewId="0">
      <selection activeCell="A1" sqref="A1"/>
    </sheetView>
  </sheetViews>
  <sheetFormatPr baseColWidth="8" defaultRowHeight="14.25"/>
  <cols>
    <col width="5.25" customWidth="1" style="2" min="1" max="1"/>
    <col width="7.875" customWidth="1" style="2" min="2" max="2"/>
    <col width="10.5" customWidth="1" style="2" min="3" max="3"/>
    <col width="21.375" customWidth="1" style="2" min="4" max="4"/>
    <col width="12.125" customWidth="1" style="2" min="5" max="5"/>
    <col width="22.375" customWidth="1" style="2" min="6" max="6"/>
    <col width="9" customWidth="1" style="2" min="7" max="7"/>
    <col outlineLevel="1" width="15.75" customWidth="1" style="2" min="8" max="8"/>
    <col outlineLevel="1" width="14.125" customWidth="1" style="2" min="9" max="13"/>
    <col width="16.125" customWidth="1" style="2" min="14" max="14"/>
    <col width="9" customWidth="1" style="2" min="15" max="16384"/>
  </cols>
  <sheetData>
    <row r="1" ht="38.25" customHeight="1" s="247">
      <c r="N1" s="58">
        <f>SUMPRODUCT(SUMIF('5.4.2 Raceway'!B:B,'5.5 Cable Routing'!O1:AH1,'5.4.2 Raceway'!C:C))+SUM(O1:AH1)</f>
        <v/>
      </c>
    </row>
    <row r="2" ht="38.25" customHeight="1" s="247"/>
    <row r="3" ht="21.75" customHeight="1" s="247" thickBot="1">
      <c r="I3" s="149" t="n">
        <v>6</v>
      </c>
      <c r="J3" s="18" t="n"/>
      <c r="K3" s="18" t="n"/>
      <c r="L3" s="149" t="n">
        <v>1</v>
      </c>
    </row>
    <row r="4" ht="26.25" customHeight="1" s="247">
      <c r="B4" s="234" t="inlineStr">
        <is>
          <t>No.</t>
        </is>
      </c>
      <c r="C4" s="34" t="inlineStr">
        <is>
          <t>From-</t>
        </is>
      </c>
      <c r="D4" s="317" t="inlineStr">
        <is>
          <t>Zone 1
Description</t>
        </is>
      </c>
      <c r="E4" s="317" t="inlineStr">
        <is>
          <t>Zone 1 No.</t>
        </is>
      </c>
      <c r="F4" s="238" t="inlineStr">
        <is>
          <t>Zone 2
Description</t>
        </is>
      </c>
      <c r="G4" s="238" t="inlineStr">
        <is>
          <t>Zone 2
No.</t>
        </is>
      </c>
      <c r="H4" s="232" t="inlineStr">
        <is>
          <t>Total Cable Length
(A=B+C+D+E)</t>
        </is>
      </c>
      <c r="I4" s="230" t="inlineStr">
        <is>
          <t>Up &amp; Down
Cable
(B)</t>
        </is>
      </c>
      <c r="J4" s="228" t="inlineStr">
        <is>
          <t>Zone 1 side
(C)</t>
        </is>
      </c>
      <c r="K4" s="228" t="inlineStr">
        <is>
          <t>Zone 2 side
(D)</t>
        </is>
      </c>
      <c r="L4" s="228" t="inlineStr">
        <is>
          <t>Bending  Length
(E=F x L3)</t>
        </is>
      </c>
      <c r="M4" s="226" t="inlineStr">
        <is>
          <t>ROUTE
DISTANCE(m)
(F)</t>
        </is>
      </c>
      <c r="N4" s="242" t="inlineStr">
        <is>
          <t>ROUTE
DISTANCE(m)
(F) by N1 fx</t>
        </is>
      </c>
      <c r="O4" s="244" t="inlineStr">
        <is>
          <t>ROUTE
1</t>
        </is>
      </c>
      <c r="P4" s="318" t="inlineStr">
        <is>
          <t>ROUTE
2</t>
        </is>
      </c>
      <c r="Q4" s="318" t="inlineStr">
        <is>
          <t>ROUTE
3</t>
        </is>
      </c>
      <c r="R4" s="318" t="inlineStr">
        <is>
          <t>ROUTE
4</t>
        </is>
      </c>
      <c r="S4" s="318" t="inlineStr">
        <is>
          <t>ROUTE
5</t>
        </is>
      </c>
      <c r="T4" s="318" t="inlineStr">
        <is>
          <t>ROUTE
6</t>
        </is>
      </c>
      <c r="U4" s="318" t="inlineStr">
        <is>
          <t>ROUTE
7</t>
        </is>
      </c>
      <c r="V4" s="318" t="inlineStr">
        <is>
          <t>ROUTE
8</t>
        </is>
      </c>
      <c r="W4" s="318" t="inlineStr">
        <is>
          <t>ROUTE
9</t>
        </is>
      </c>
      <c r="X4" s="318" t="inlineStr">
        <is>
          <t>ROUTE
10</t>
        </is>
      </c>
      <c r="Y4" s="318" t="inlineStr">
        <is>
          <t>ROUTE
11</t>
        </is>
      </c>
      <c r="Z4" s="318" t="inlineStr">
        <is>
          <t>ROUTE
12</t>
        </is>
      </c>
      <c r="AA4" s="318" t="inlineStr">
        <is>
          <t>ROUTE
13</t>
        </is>
      </c>
      <c r="AB4" s="318" t="inlineStr">
        <is>
          <t>ROUTE
14</t>
        </is>
      </c>
      <c r="AC4" s="318" t="inlineStr">
        <is>
          <t>ROUTE
15</t>
        </is>
      </c>
      <c r="AD4" s="318" t="inlineStr">
        <is>
          <t>ROUTE
16</t>
        </is>
      </c>
      <c r="AE4" s="318" t="inlineStr">
        <is>
          <t>ROUTE
17</t>
        </is>
      </c>
      <c r="AF4" s="318" t="inlineStr">
        <is>
          <t>ROUTE
18</t>
        </is>
      </c>
      <c r="AG4" s="318" t="inlineStr">
        <is>
          <t>ROUTE
19</t>
        </is>
      </c>
      <c r="AH4" s="318" t="inlineStr">
        <is>
          <t>ROUTE
20</t>
        </is>
      </c>
    </row>
    <row r="5" ht="26.25" customHeight="1" s="247" thickBot="1">
      <c r="B5" s="319" t="n"/>
      <c r="C5" s="35" t="inlineStr">
        <is>
          <t>To</t>
        </is>
      </c>
      <c r="D5" s="320" t="n"/>
      <c r="E5" s="320" t="n"/>
      <c r="F5" s="321" t="n"/>
      <c r="G5" s="321" t="n"/>
      <c r="H5" s="319" t="n"/>
      <c r="I5" s="322" t="n"/>
      <c r="J5" s="314" t="n"/>
      <c r="K5" s="314" t="n"/>
      <c r="L5" s="314" t="n"/>
      <c r="M5" s="323" t="n"/>
      <c r="N5" s="323" t="n"/>
      <c r="O5" s="324" t="n"/>
      <c r="P5" s="325" t="n"/>
      <c r="Q5" s="325" t="n"/>
      <c r="R5" s="325" t="n"/>
      <c r="S5" s="325" t="n"/>
      <c r="T5" s="325" t="n"/>
      <c r="U5" s="325" t="n"/>
      <c r="V5" s="325" t="n"/>
      <c r="W5" s="325" t="n"/>
      <c r="X5" s="325" t="n"/>
      <c r="Y5" s="325" t="n"/>
      <c r="Z5" s="325" t="n"/>
      <c r="AA5" s="325" t="n"/>
      <c r="AB5" s="325" t="n"/>
      <c r="AC5" s="325" t="n"/>
      <c r="AD5" s="325" t="n"/>
      <c r="AE5" s="325" t="n"/>
      <c r="AF5" s="325" t="n"/>
      <c r="AG5" s="325" t="n"/>
      <c r="AH5" s="325" t="n"/>
    </row>
  </sheetData>
  <autoFilter ref="B5:AV5"/>
  <mergeCells count="32">
    <mergeCell ref="R4:R5"/>
    <mergeCell ref="T4:T5"/>
    <mergeCell ref="E4:E5"/>
    <mergeCell ref="V4:V5"/>
    <mergeCell ref="AB4:AB5"/>
    <mergeCell ref="O4:O5"/>
    <mergeCell ref="AF4:AF5"/>
    <mergeCell ref="AH4:AH5"/>
    <mergeCell ref="Q4:Q5"/>
    <mergeCell ref="D4:D5"/>
    <mergeCell ref="AA4:AA5"/>
    <mergeCell ref="J4:J5"/>
    <mergeCell ref="AC4:AC5"/>
    <mergeCell ref="L4:L5"/>
    <mergeCell ref="X4:X5"/>
    <mergeCell ref="G4:G5"/>
    <mergeCell ref="I4:I5"/>
    <mergeCell ref="Z4:Z5"/>
    <mergeCell ref="K4:K5"/>
    <mergeCell ref="AD4:AD5"/>
    <mergeCell ref="S4:S5"/>
    <mergeCell ref="U4:U5"/>
    <mergeCell ref="M4:M5"/>
    <mergeCell ref="B4:B5"/>
    <mergeCell ref="W4:W5"/>
    <mergeCell ref="F4:F5"/>
    <mergeCell ref="Y4:Y5"/>
    <mergeCell ref="N4:N5"/>
    <mergeCell ref="AE4:AE5"/>
    <mergeCell ref="H4:H5"/>
    <mergeCell ref="P4:P5"/>
    <mergeCell ref="AG4:AG5"/>
  </mergeCells>
  <dataValidations count="4">
    <dataValidation sqref="N4:N5" showDropDown="0" showInputMessage="1" showErrorMessage="1" allowBlank="1" prompt="필요시 복사하여 사용"/>
    <dataValidation sqref="N1 S2" showDropDown="0" showInputMessage="1" showErrorMessage="1" allowBlank="1" prompt="필요시 N1 셀 수식 복사하여 사용"/>
    <dataValidation sqref="L3" showDropDown="0" showInputMessage="1" showErrorMessage="1" allowBlank="1" promptTitle="Bending Margin" prompt="Bending Margin 필요시 기입._x000a_Default = 1 (Margin 없음)_x000a_Margin 적용 시, 해당 사유 소명 필요."/>
    <dataValidation sqref="I3" showDropDown="0" showInputMessage="1" showErrorMessage="1" allowBlank="1" promptTitle="Up &amp; Down Cable " prompt="단말 마진 Length_x000a__x000a_Default : 6m_x000a_필요시 변경 후, 해당 사유 소명 필요"/>
  </dataValidations>
  <pageMargins left="0.7" right="0.7" top="0.75" bottom="0.75" header="0.3" footer="0.3"/>
  <pageSetup orientation="portrait" paperSize="9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박종관(jk0222.park)</dc:creator>
  <dcterms:created xsi:type="dcterms:W3CDTF">2021-06-21T09:52:30Z</dcterms:created>
  <dcterms:modified xsi:type="dcterms:W3CDTF">2026-09-08T04:07:01Z</dcterms:modified>
  <cp:lastModifiedBy>user</cp:lastModifiedBy>
  <cp:lastPrinted>2023-02-10T12:56:58Z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NSCPROP_SA" fmtid="{D5CDD505-2E9C-101B-9397-08002B2CF9AE}" pid="2">
    <vt:lpwstr>E:\P_WorkRoom\00. 본사\BM Sheet 개정\02. Sample\BM TOOL_210621.xlsm</vt:lpwstr>
  </property>
</Properties>
</file>